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tabRatio="500" firstSheet="1" activeTab="1"/>
  </bookViews>
  <sheets>
    <sheet name="0_Instructions" sheetId="1" r:id="rId1"/>
    <sheet name="1_Identification_Dossier" sheetId="2" r:id="rId2"/>
    <sheet name="2_Diagnostic_Oumaima" sheetId="3" r:id="rId3"/>
    <sheet name="3_Checklist_Maitre" sheetId="4" r:id="rId4"/>
    <sheet name="4_Portes_de_Validation" sheetId="5" r:id="rId5"/>
    <sheet name="5_Tableau_de_Bord" sheetId="6" r:id="rId6"/>
    <sheet name="6_Retour_Imane_Oumaima" sheetId="7" r:id="rId7"/>
    <sheet name="7_Legende" sheetId="8" r:id="rId8"/>
    <sheet name="8_Integration_UBOS" sheetId="9" r:id="rId9"/>
  </sheets>
  <definedNames>
    <definedName name="_xlnm._FilterDatabase" localSheetId="3" hidden="1">'3_Checklist_Maitre'!$A$1:$R$282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<sst xmlns="http://schemas.openxmlformats.org/spreadsheetml/2006/main" count="3362" uniqueCount="1895">
  <si>
    <t>CHECKLIST MAITRE ULTEX - CONTROLE DES DOSSIERS D'IMPORTATION (LIMEX)</t>
  </si>
  <si>
    <t>OBJET DU FICHIER</t>
  </si>
  <si>
    <t>Ce classeur est le modele officiel et permanent utilise par Oumaima, Yasser et Imane apres chaque</t>
  </si>
  <si>
    <t>confirmation client. Il est identique pour tous les dossiers d'importation, quel que soit le produit,</t>
  </si>
  <si>
    <t>le fournisseur, le pays d'origine, le montant ou le mode de transport.</t>
  </si>
  <si>
    <t>REGLE ABSOLUE</t>
  </si>
  <si>
    <t>On ne cree JAMAIS une nouvelle checklist. On duplique ce fichier (ou cet onglet) pour chaque</t>
  </si>
  <si>
    <t>nouveau dossier et on active/desactive les controles avec la colonne 'Applicable / N/A'.</t>
  </si>
  <si>
    <t>COMMENT UTILISER CE CLASSEUR - ETAPE PAR ETAPE</t>
  </si>
  <si>
    <t>1. Dupliquer ce classeur et le renommer avec le code dossier (ex: CHECKLIST_ULT-2026-0145.xlsx).</t>
  </si>
  <si>
    <t>2. Onglet '1_Identification_Dossier' : Imane remplit les champs du dossier des reception de la confirmation.</t>
  </si>
  <si>
    <t>3. Onglet '2_Diagnostic_Oumaima' : Oumaima colle la synthese de ses 5 enquetes (anti-fraude, valeur,</t>
  </si>
  <si>
    <t xml:space="preserve">   reglementation, technique, autres) et liste risques / points forts / infos manquantes / contradictions.</t>
  </si>
  <si>
    <t>4. Onglet '3_Checklist_Maitre' : Imane parcourt les ~250 lignes et met 'Applicable' ou 'N/A' dans la</t>
  </si>
  <si>
    <t xml:space="preserve">   colonne F selon le produit et le dossier. Les controles familles de produits (bloc 18) restent N/A</t>
  </si>
  <si>
    <t xml:space="preserve">   sauf ceux qui concernent reellement le produit.</t>
  </si>
  <si>
    <t>5. Yasser filtre par colonne 'Statut' = 'A demander', execute les actions, joint les preuves dans le</t>
  </si>
  <si>
    <t xml:space="preserve">   dossier partage, et met a jour Statut + Commentaire Yasser.</t>
  </si>
  <si>
    <t>6. Imane controle chaque preuve recue, passe le statut a 'Recu a controler' puis 'Valide par Imane' ou</t>
  </si>
  <si>
    <t xml:space="preserve">   'Non conforme' / 'Correction demandee'. Elle ne valide jamais sur simple declaration de Yasser.</t>
  </si>
  <si>
    <t>7. Pour les controles marques priorite P0 ou pour toute case ambigue, Imane bascule le statut sur</t>
  </si>
  <si>
    <t xml:space="preserve">   'Validation Oumaima requise' ; Oumaima tranche dans l'onglet '4_Portes_de_Validation'.</t>
  </si>
  <si>
    <t>8. Avant chaque porte (avance, production, reliquat, expedition, arrivee, dedouanement, livraison,</t>
  </si>
  <si>
    <t xml:space="preserve">   cloture), on renseigne l'onglet '4_Portes_de_Validation' : GO / GO SOUS CONDITIONS / STOP.</t>
  </si>
  <si>
    <t>9. L'onglet '5_Tableau_de_Bord' se met a jour automatiquement (formules) : nombre de controles</t>
  </si>
  <si>
    <t xml:space="preserve">   ouverts, bloques, P0/P1 en cours, documents manquants, decision globale.</t>
  </si>
  <si>
    <t>10. A la cloture, Imane remplit l'onglet '6_Retour_Imane_Oumaima' et l'envoie a Oumaima pour decision.</t>
  </si>
  <si>
    <t>FILTRAGE</t>
  </si>
  <si>
    <t>La feuille '3_Checklist_Maitre' est en mode tableau avec filtres automatiques (AutoFilter) sur</t>
  </si>
  <si>
    <t>toutes les colonnes : Phase, Domaine, Priorite, Statut, Applicable/N-A, Responsable. Utiliser les</t>
  </si>
  <si>
    <t>filtres pour n'afficher que : (a) les controles Applicables du dossier, (b) une phase donnee,</t>
  </si>
  <si>
    <t>(c) les priorites P0/P1 encore ouvertes, (d) les controles bloques.</t>
  </si>
  <si>
    <t>CODE COULEUR (colonne Statut, mise en forme conditionnelle automatique)</t>
  </si>
  <si>
    <t>Vert = Valide par Imane / Valide definitivement.</t>
  </si>
  <si>
    <t>Orange = En attente / Demande / Recu a controler / Correction demandee.</t>
  </si>
  <si>
    <t>Rouge = Bloque / Non conforme.</t>
  </si>
  <si>
    <t>Gris = N/A (non applicable a ce dossier).</t>
  </si>
  <si>
    <t>Jaune = Validation Oumaima requise.</t>
  </si>
  <si>
    <t>IDENTIFIANTS PERMANENTS</t>
  </si>
  <si>
    <t>Chaque controle a un ID fixe (FOU-001, PRD-014, DOU-006, REG-011, etc.) qui ne doit jamais changer</t>
  </si>
  <si>
    <t>d'un dossier a l'autre. Cela permet de comparer les dossiers, d'automatiser un futur suivi dans UBOS,</t>
  </si>
  <si>
    <t>et de batir des statistiques de risque par famille de controle dans le temps.</t>
  </si>
  <si>
    <t>COMPATIBILITE</t>
  </si>
  <si>
    <t>Ce fichier est un classeur Excel standard (.xlsx), sans macro, compatible Excel, Google Sheets,</t>
  </si>
  <si>
    <t>et importable dans un CRM ou dans UBOS via export CSV par onglet. Voir onglet '8_Integration_UBOS'.</t>
  </si>
  <si>
    <t>BLOC 1 - IDENTIFICATION DU DOSSIER</t>
  </si>
  <si>
    <t>Champ</t>
  </si>
  <si>
    <t>Valeur (a completer par Imane)</t>
  </si>
  <si>
    <t>Code dossier</t>
  </si>
  <si>
    <t>Poids brut</t>
  </si>
  <si>
    <t>Code client</t>
  </si>
  <si>
    <t>Volume (CBM)</t>
  </si>
  <si>
    <t>Nom du client</t>
  </si>
  <si>
    <t>Valeur</t>
  </si>
  <si>
    <t>Service choisi (ECG / DGI)</t>
  </si>
  <si>
    <t>Devise</t>
  </si>
  <si>
    <t>Mode (Maritime / Aerien / Routier)</t>
  </si>
  <si>
    <t>Incoterm</t>
  </si>
  <si>
    <t>Produit</t>
  </si>
  <si>
    <t>Conditions de paiement</t>
  </si>
  <si>
    <t>Famille de produit</t>
  </si>
  <si>
    <t>Port de depart</t>
  </si>
  <si>
    <t>Fournisseur</t>
  </si>
  <si>
    <t>Port d'arrivee</t>
  </si>
  <si>
    <t>Fabricant reel</t>
  </si>
  <si>
    <t>ETA</t>
  </si>
  <si>
    <t>Pays d'origine</t>
  </si>
  <si>
    <t>Responsable du dossier</t>
  </si>
  <si>
    <t>Pays de provenance</t>
  </si>
  <si>
    <t>Date de confirmation</t>
  </si>
  <si>
    <t>Quantite</t>
  </si>
  <si>
    <t>Niveau de risque initial (Faible/Moyen/Eleve/Critique)</t>
  </si>
  <si>
    <t>Poids net</t>
  </si>
  <si>
    <t>BLOC 2 - RESULTATS DU DIAGNOSTIC D'OUMAIMA (zone stable, a coller a chaque dossier)</t>
  </si>
  <si>
    <t>Rubrique</t>
  </si>
  <si>
    <t>Contenu (colle par Oumaima)</t>
  </si>
  <si>
    <t>Resume du diagnostic</t>
  </si>
  <si>
    <t>Risques critiques (P0)</t>
  </si>
  <si>
    <t>Risques financiers</t>
  </si>
  <si>
    <t>Risques douaniers</t>
  </si>
  <si>
    <t>Risques reglementaires</t>
  </si>
  <si>
    <t>Risques techniques</t>
  </si>
  <si>
    <t>Risques fournisseur</t>
  </si>
  <si>
    <t>Risques transport</t>
  </si>
  <si>
    <t>Points forts du dossier</t>
  </si>
  <si>
    <t>Elements confirmes</t>
  </si>
  <si>
    <t>Informations manquantes</t>
  </si>
  <si>
    <t>Contradictions entre rapports</t>
  </si>
  <si>
    <t>Exigences particulieres (ajouts d'Oumaima)</t>
  </si>
  <si>
    <t>Decisions prises</t>
  </si>
  <si>
    <t>Reserve financiere douaniere recommandee</t>
  </si>
  <si>
    <t>ID</t>
  </si>
  <si>
    <t>Phase</t>
  </si>
  <si>
    <t>Domaine</t>
  </si>
  <si>
    <t>Controle a effectuer</t>
  </si>
  <si>
    <t>Condition d'application</t>
  </si>
  <si>
    <t>Applicable / N-A</t>
  </si>
  <si>
    <t>Risque evite</t>
  </si>
  <si>
    <t>Action de Yasser</t>
  </si>
  <si>
    <t>Preuve obligatoire</t>
  </si>
  <si>
    <t>Critere d'acceptation</t>
  </si>
  <si>
    <t>Priorite</t>
  </si>
  <si>
    <t>Date limite</t>
  </si>
  <si>
    <t>Statut</t>
  </si>
  <si>
    <t>Commentaire Yasser</t>
  </si>
  <si>
    <t>Controle Imane</t>
  </si>
  <si>
    <t>Date controle</t>
  </si>
  <si>
    <t>Validation Oumaima</t>
  </si>
  <si>
    <t>Blocage</t>
  </si>
  <si>
    <t>FOU-001</t>
  </si>
  <si>
    <t>3. Controle fournisseur</t>
  </si>
  <si>
    <t>Fournisseur et fraude</t>
  </si>
  <si>
    <t>Verifier la raison sociale exacte du fournisseur</t>
  </si>
  <si>
    <t>Toujours</t>
  </si>
  <si>
    <t>Usurpation d'identite / faux fournisseur</t>
  </si>
  <si>
    <t>Comparer le nom sur la facture, le site web et le registre du commerce</t>
  </si>
  <si>
    <t>Extrait registre du commerce ou equivalent</t>
  </si>
  <si>
    <t>Nom identique sur les 3 sources</t>
  </si>
  <si>
    <t>P1</t>
  </si>
  <si>
    <t>Non commence</t>
  </si>
  <si>
    <t>FOU-002</t>
  </si>
  <si>
    <t>Obtenir le numero d'enregistrement / immatriculation</t>
  </si>
  <si>
    <t>Fournisseur non enregistre legalement</t>
  </si>
  <si>
    <t>Demander le numero officiel et le verifier sur le registre local si accessible</t>
  </si>
  <si>
    <t>Certificat d'enregistrement</t>
  </si>
  <si>
    <t>Numero valide et actif</t>
  </si>
  <si>
    <t>FOU-003</t>
  </si>
  <si>
    <t>Obtenir une licence commerciale valide et recente</t>
  </si>
  <si>
    <t>Licence expiree ou fictive</t>
  </si>
  <si>
    <t>Demander une copie recente (&lt; 12 mois) de la licence</t>
  </si>
  <si>
    <t>Licence commerciale scannee</t>
  </si>
  <si>
    <t>Date de validite non depassee</t>
  </si>
  <si>
    <t>FOU-004</t>
  </si>
  <si>
    <t>Verifier la date de creation de l'entreprise</t>
  </si>
  <si>
    <t>Societe recemment creee = risque accru</t>
  </si>
  <si>
    <t>Demander la date de constitution</t>
  </si>
  <si>
    <t>Registre du commerce / Kbis local</t>
  </si>
  <si>
    <t>Anciennete coherente avec le volume commande</t>
  </si>
  <si>
    <t>P2</t>
  </si>
  <si>
    <t>FOU-005</t>
  </si>
  <si>
    <t>Verifier le capital social declare</t>
  </si>
  <si>
    <t>Capacite financiere insuffisante</t>
  </si>
  <si>
    <t>Demander le montant du capital social</t>
  </si>
  <si>
    <t>Extrait registre du commerce</t>
  </si>
  <si>
    <t>Capital coherent avec la taille de la commande</t>
  </si>
  <si>
    <t>FOU-006</t>
  </si>
  <si>
    <t>Identifier les dirigeants et beneficiaires effectifs</t>
  </si>
  <si>
    <t>Personne interdite ou sous sanction derriere la societe</t>
  </si>
  <si>
    <t>Demander les noms des dirigeants</t>
  </si>
  <si>
    <t>Registre du commerce / KBIS</t>
  </si>
  <si>
    <t>Noms coherents entre documents</t>
  </si>
  <si>
    <t>FOU-007</t>
  </si>
  <si>
    <t>Verifier l'adresse du siege social</t>
  </si>
  <si>
    <t>Adresse fictive / boite postale</t>
  </si>
  <si>
    <t>Confirmer l'adresse via Google Maps / Street View ou verification tierce</t>
  </si>
  <si>
    <t>Photo ou capture de verification d'adresse</t>
  </si>
  <si>
    <t>Adresse correspond a un local reel</t>
  </si>
  <si>
    <t>FOU-008</t>
  </si>
  <si>
    <t>Verifier l'adresse de l'usine si differente du siege</t>
  </si>
  <si>
    <t>Si fabricant declare different du siege</t>
  </si>
  <si>
    <t>Sous-traitance non declaree</t>
  </si>
  <si>
    <t>Demander l'adresse exacte de production</t>
  </si>
  <si>
    <t>Photos ou plan de l'usine</t>
  </si>
  <si>
    <t>Adresse coherente avec capacite de production</t>
  </si>
  <si>
    <t>FOU-009</t>
  </si>
  <si>
    <t>Confirmer l'existence physique de l'entreprise</t>
  </si>
  <si>
    <t>Societe boite aux lettres</t>
  </si>
  <si>
    <t>Demander photos recentes du batiment / bureaux avec enseigne visible</t>
  </si>
  <si>
    <t>Photos datees et geolocalisables</t>
  </si>
  <si>
    <t>Correspondance batiment / enseigne / adresse</t>
  </si>
  <si>
    <t>FOU-010</t>
  </si>
  <si>
    <t>Verifier le site internet et le domaine email</t>
  </si>
  <si>
    <t>Domaine recent ou generique = risque de fraude</t>
  </si>
  <si>
    <t>Verifier anciennete du nom de domaine (whois) et coherence de l'email professionnel</t>
  </si>
  <si>
    <t>Capture whois + en-tete email</t>
  </si>
  <si>
    <t>Domaine anterieur a 2 ans, email au nom de domaine de l'entreprise</t>
  </si>
  <si>
    <t>FOU-011</t>
  </si>
  <si>
    <t>Clarifier si le fournisseur est fabricant ou intermediaire</t>
  </si>
  <si>
    <t>Confusion fabricant / negociant = risque prix et qualite</t>
  </si>
  <si>
    <t>Demander confirmation ecrite du statut (fabricant/trading)</t>
  </si>
  <si>
    <t>Declaration ecrite + certificat d'usine si fabricant</t>
  </si>
  <si>
    <t>Statut confirme et coherent avec le prix</t>
  </si>
  <si>
    <t>FOU-012</t>
  </si>
  <si>
    <t>Identifier le fabricant reel si different du fournisseur</t>
  </si>
  <si>
    <t>Si fournisseur = intermediaire</t>
  </si>
  <si>
    <t>Tracabilite perdue en cas de litige</t>
  </si>
  <si>
    <t>Obtenir le nom, l'adresse et les coordonnees du fabricant reel</t>
  </si>
  <si>
    <t>Certificat d'usine / accord de sous-traitance</t>
  </si>
  <si>
    <t>Fabricant identifie nommement</t>
  </si>
  <si>
    <t>FOU-013</t>
  </si>
  <si>
    <t>Verifier l'historique d'exportation du fournisseur</t>
  </si>
  <si>
    <t>Premiere exportation = risque operationnel</t>
  </si>
  <si>
    <t>Demander des references d'exportations anterieures</t>
  </si>
  <si>
    <t>Attestations clients ou copies de BL anterieurs</t>
  </si>
  <si>
    <t>Au moins 2 references verifiables</t>
  </si>
  <si>
    <t>FOU-014</t>
  </si>
  <si>
    <t>Rechercher la reputation du fournisseur (avis, litiges publics)</t>
  </si>
  <si>
    <t>Fournisseur signale pour fraude ou non-conformite</t>
  </si>
  <si>
    <t>Recherche web, bases de plaintes commerciales, forums sectoriels</t>
  </si>
  <si>
    <t>Captures de recherche documentees</t>
  </si>
  <si>
    <t>Aucun signalement grave non explique</t>
  </si>
  <si>
    <t>FOU-015</t>
  </si>
  <si>
    <t>Verifier l'absence de sanctions internationales</t>
  </si>
  <si>
    <t>Violation d'embargo / sanctions</t>
  </si>
  <si>
    <t>Controler le nom de l'entreprise et des dirigeants sur listes de sanctions (OFAC, UE, ONU)</t>
  </si>
  <si>
    <t>Rapport de verification sanctions</t>
  </si>
  <si>
    <t>Aucune correspondance</t>
  </si>
  <si>
    <t>P0</t>
  </si>
  <si>
    <t>FOU-016</t>
  </si>
  <si>
    <t>Verifier l'absence de procedures judiciaires en cours</t>
  </si>
  <si>
    <t>Societe en difficulte / litige majeur</t>
  </si>
  <si>
    <t>Demander declaration sur l'honneur + recherche publique</t>
  </si>
  <si>
    <t>Declaration + capture de recherche</t>
  </si>
  <si>
    <t>Aucune procedure majeure non expliquee</t>
  </si>
  <si>
    <t>FOU-017</t>
  </si>
  <si>
    <t>Detecter tout changement recent de coordonnees bancaires</t>
  </si>
  <si>
    <t>Fraude au changement de RIB (fraude au president)</t>
  </si>
  <si>
    <t>Comparer le RIB actuel avec les echanges precedents et appeler le fournisseur par un numero connu</t>
  </si>
  <si>
    <t>Confirmation telephonique + RIB precedent</t>
  </si>
  <si>
    <t>RIB identique ou changement justifie et confirme oralement</t>
  </si>
  <si>
    <t>FOU-018</t>
  </si>
  <si>
    <t>Verifier la coherence entre le nom du fournisseur et le beneficiaire du paiement</t>
  </si>
  <si>
    <t>Paiement a un tiers non lie = detournement</t>
  </si>
  <si>
    <t>Comparer nom facture / nom compte bancaire / nom contrat</t>
  </si>
  <si>
    <t>Facture + coordonnees bancaires + contrat</t>
  </si>
  <si>
    <t>Identite exacte entre les 3 documents</t>
  </si>
  <si>
    <t>FOU-019</t>
  </si>
  <si>
    <t>Verifier si le paiement est demande vers un pays tiers</t>
  </si>
  <si>
    <t>Si beneficiaire different du pays du fournisseur</t>
  </si>
  <si>
    <t>Blanchiment ou fraude</t>
  </si>
  <si>
    <t>Demander justification ecrite du paiement vers pays tiers</t>
  </si>
  <si>
    <t>Justification ecrite + documents societe tierce</t>
  </si>
  <si>
    <t>Justification credible et documentee</t>
  </si>
  <si>
    <t>FOU-020</t>
  </si>
  <si>
    <t>Evaluer la capacite reelle de production declaree</t>
  </si>
  <si>
    <t>Fournisseur incapable de honorer la commande</t>
  </si>
  <si>
    <t>Demander capacite mensuelle et comparer a la commande</t>
  </si>
  <si>
    <t>Fiche capacite + photos usine</t>
  </si>
  <si>
    <t>Capacite superieure ou egale a la commande + marge</t>
  </si>
  <si>
    <t>FOU-021</t>
  </si>
  <si>
    <t>Verifier la validite des certifications de l'entreprise</t>
  </si>
  <si>
    <t>Si certifications invoquees (ISO, etc.)</t>
  </si>
  <si>
    <t>Faux certificats</t>
  </si>
  <si>
    <t>Demander les certificats et verifier aupres de l'organisme emetteur</t>
  </si>
  <si>
    <t>Certificat + verification en ligne aupres de l'organisme</t>
  </si>
  <si>
    <t>Certificat authentique et non expire</t>
  </si>
  <si>
    <t>FOU-022</t>
  </si>
  <si>
    <t>Realiser ou obtenir une inspection d'usine (physique ou video)</t>
  </si>
  <si>
    <t>Si montant eleve ou premier fournisseur</t>
  </si>
  <si>
    <t>Absence de production reelle</t>
  </si>
  <si>
    <t>Demander un appel video en direct dans l'usine ou une inspection tierce</t>
  </si>
  <si>
    <t>Video datee ou rapport d'inspection</t>
  </si>
  <si>
    <t>Usine correspond a la production declaree</t>
  </si>
  <si>
    <t>FOU-023</t>
  </si>
  <si>
    <t>Demander un echantillon avant confirmation finale de commande</t>
  </si>
  <si>
    <t>Si produit non standard ou premiere commande</t>
  </si>
  <si>
    <t>Produit livre non conforme aux attentes</t>
  </si>
  <si>
    <t>Demander envoi d'un echantillon physique</t>
  </si>
  <si>
    <t>Echantillon recu et valide</t>
  </si>
  <si>
    <t>Echantillon conforme au cahier des charges</t>
  </si>
  <si>
    <t>FOU-024</t>
  </si>
  <si>
    <t>Etablir le niveau final de confiance fournisseur</t>
  </si>
  <si>
    <t>Decision prise sans vue d'ensemble</t>
  </si>
  <si>
    <t>Synthetiser tous les controles fournisseur en un score qualitatif</t>
  </si>
  <si>
    <t>Fiche de synthese fournisseur</t>
  </si>
  <si>
    <t>Score documente et valide par Oumaima</t>
  </si>
  <si>
    <t>PRD-001</t>
  </si>
  <si>
    <t>2. Diagnostic Oumaima</t>
  </si>
  <si>
    <t>Produit et analyse technique</t>
  </si>
  <si>
    <t>Confirmer la designation commerciale exacte du produit</t>
  </si>
  <si>
    <t>Confusion sur l'objet de la commande</t>
  </si>
  <si>
    <t>Comparer designation proforma / catalogue / fiche technique</t>
  </si>
  <si>
    <t>Fiche technique + proforma</t>
  </si>
  <si>
    <t>Designation identique sur tous les documents</t>
  </si>
  <si>
    <t>PRD-002</t>
  </si>
  <si>
    <t>Confirmer la designation technique et la fonction du produit</t>
  </si>
  <si>
    <t>Produit inadapte a l'usage prevu</t>
  </si>
  <si>
    <t>Demander description technique detaillee de la fonction</t>
  </si>
  <si>
    <t>Fiche technique</t>
  </si>
  <si>
    <t>Fonction confirmee par ecrit</t>
  </si>
  <si>
    <t>PRD-003</t>
  </si>
  <si>
    <t>Verifier le modele et la reference exacts</t>
  </si>
  <si>
    <t>Livraison d'un modele different</t>
  </si>
  <si>
    <t>Comparer reference commandee / reference facturee</t>
  </si>
  <si>
    <t>Fiche technique + facture</t>
  </si>
  <si>
    <t>Reference identique</t>
  </si>
  <si>
    <t>PRD-004</t>
  </si>
  <si>
    <t>Verifier la marque et son autorisation d'usage</t>
  </si>
  <si>
    <t>Si produit de marque</t>
  </si>
  <si>
    <t>Contrefacon / marque non autorisee</t>
  </si>
  <si>
    <t>Demander preuve d'autorisation ou de distribution officielle</t>
  </si>
  <si>
    <t>Attestation de distributeur officiel ou licence</t>
  </si>
  <si>
    <t>Autorisation valide et verifiable</t>
  </si>
  <si>
    <t>PRD-005</t>
  </si>
  <si>
    <t>Confirmer le fabricant reel du produit</t>
  </si>
  <si>
    <t>Confusion fournisseur/fabricant deja traitee en bloc 3</t>
  </si>
  <si>
    <t>Croiser avec FOU-012</t>
  </si>
  <si>
    <t>Certificat d'usine</t>
  </si>
  <si>
    <t>Coherence avec bloc fournisseur</t>
  </si>
  <si>
    <t>PRD-006</t>
  </si>
  <si>
    <t>Verifier la matiere / composition exacte</t>
  </si>
  <si>
    <t>Matiere non conforme au marche marocain ou a l'usage</t>
  </si>
  <si>
    <t>Demander fiche de composition detaillee</t>
  </si>
  <si>
    <t>Fiche technique / rapport de laboratoire</t>
  </si>
  <si>
    <t>Composition conforme au cahier des charges</t>
  </si>
  <si>
    <t>PRD-007</t>
  </si>
  <si>
    <t>Verifier les dimensions du produit</t>
  </si>
  <si>
    <t>Non-conformite dimensionnelle a la livraison</t>
  </si>
  <si>
    <t>Demander plan cote ou fiche dimensionnelle</t>
  </si>
  <si>
    <t>Dimensions conformes a la commande</t>
  </si>
  <si>
    <t>P3</t>
  </si>
  <si>
    <t>PRD-008</t>
  </si>
  <si>
    <t>Verifier le poids unitaire</t>
  </si>
  <si>
    <t>Ecart poids impactant transport et douane</t>
  </si>
  <si>
    <t>Demander poids net et brut unitaire</t>
  </si>
  <si>
    <t>Fiche technique / packing list</t>
  </si>
  <si>
    <t>Poids coherent avec packing list</t>
  </si>
  <si>
    <t>PRD-009</t>
  </si>
  <si>
    <t>Verifier la puissance, le voltage et la frequence</t>
  </si>
  <si>
    <t>Si produit electrique/electronique</t>
  </si>
  <si>
    <t>Incompatibilite avec le reseau marocain (220V/50Hz)</t>
  </si>
  <si>
    <t>Demander fiche technique electrique complete</t>
  </si>
  <si>
    <t>Voltage/frequence compatibles Maroc</t>
  </si>
  <si>
    <t>PRD-010</t>
  </si>
  <si>
    <t>Verifier la capacite fonctionnelle annoncee</t>
  </si>
  <si>
    <t>Si produit avec capacite (debit, volume, charge...)</t>
  </si>
  <si>
    <t>Produit sous-dimensionne par rapport au besoin client</t>
  </si>
  <si>
    <t>Demander fiche de performance</t>
  </si>
  <si>
    <t>Fiche technique / rapport d'essai</t>
  </si>
  <si>
    <t>Capacite conforme aux specifications client</t>
  </si>
  <si>
    <t>PRD-011</t>
  </si>
  <si>
    <t>Verifier l'etat du produit (neuf / occasion / reconditionne)</t>
  </si>
  <si>
    <t>Produit d'occasion vendu comme neuf</t>
  </si>
  <si>
    <t>Demander declaration ecrite de l'etat + photos reelles</t>
  </si>
  <si>
    <t>Declaration + photos</t>
  </si>
  <si>
    <t>Etat conforme a la commande et a la reglementation import</t>
  </si>
  <si>
    <t>PRD-012</t>
  </si>
  <si>
    <t>Lister les accessoires et consommables inclus</t>
  </si>
  <si>
    <t>Accessoires manquants a la livraison</t>
  </si>
  <si>
    <t>Demander liste exhaustive des accessoires inclus</t>
  </si>
  <si>
    <t>Packing list detaillee</t>
  </si>
  <si>
    <t>Liste correspond a la commande</t>
  </si>
  <si>
    <t>PRD-013</t>
  </si>
  <si>
    <t>Verifier la disponibilite des pieces de rechange</t>
  </si>
  <si>
    <t>Si equipement / machine</t>
  </si>
  <si>
    <t>Impossibilite de maintenance apres-vente</t>
  </si>
  <si>
    <t>Demander catalogue des pieces de rechange disponibles</t>
  </si>
  <si>
    <t>Catalogue pieces de rechange</t>
  </si>
  <si>
    <t>Pieces disponibles et prix connus</t>
  </si>
  <si>
    <t>P4</t>
  </si>
  <si>
    <t>PRD-014</t>
  </si>
  <si>
    <t>Verifier la compatibilite du produit avec le marche marocain</t>
  </si>
  <si>
    <t>Produit non commercialisable au Maroc</t>
  </si>
  <si>
    <t>Verifier normes, prises, frequences, langue vis-a-vis du Maroc</t>
  </si>
  <si>
    <t>Note de compatibilite</t>
  </si>
  <si>
    <t>Compatibilite confirmee</t>
  </si>
  <si>
    <t>PRD-015</t>
  </si>
  <si>
    <t>Obtenir les conditions d'installation</t>
  </si>
  <si>
    <t>Si produit necessitant installation</t>
  </si>
  <si>
    <t>Cout ou delai d'installation non anticipe</t>
  </si>
  <si>
    <t>Demander notice d'installation et prerequis</t>
  </si>
  <si>
    <t>Manuel d'installation</t>
  </si>
  <si>
    <t>Prerequis identifies et communiques au client</t>
  </si>
  <si>
    <t>PRD-016</t>
  </si>
  <si>
    <t>Obtenir les conditions de maintenance et garantie</t>
  </si>
  <si>
    <t>Absence de SAV apres livraison</t>
  </si>
  <si>
    <t>Demander duree et conditions de garantie par ecrit</t>
  </si>
  <si>
    <t>Certificat de garantie</t>
  </si>
  <si>
    <t>Duree et conditions ecrites obtenues</t>
  </si>
  <si>
    <t>PRD-017</t>
  </si>
  <si>
    <t>Obtenir le manuel d'utilisation dans une langue acceptee</t>
  </si>
  <si>
    <t>Non-conformite etiquetage/langue au Maroc</t>
  </si>
  <si>
    <t>Demander manuel en francais, arabe ou anglais</t>
  </si>
  <si>
    <t>Manuel d'utilisation</t>
  </si>
  <si>
    <t>Langue conforme aux exigences marocaines</t>
  </si>
  <si>
    <t>PRD-018</t>
  </si>
  <si>
    <t>Obtenir la fiche technique complete signee/datee</t>
  </si>
  <si>
    <t>Fiche technique manquante ou generique</t>
  </si>
  <si>
    <t>Demander fiche technique officielle du fabricant</t>
  </si>
  <si>
    <t>Fiche technique signee</t>
  </si>
  <si>
    <t>Fiche complete et coherente avec le produit</t>
  </si>
  <si>
    <t>PRD-019</t>
  </si>
  <si>
    <t>Obtenir un catalogue ou brochure produit</t>
  </si>
  <si>
    <t>Si disponible</t>
  </si>
  <si>
    <t>Aucun support de reference pour verification ulterieure</t>
  </si>
  <si>
    <t>Demander catalogue PDF ou papier</t>
  </si>
  <si>
    <t>Catalogue</t>
  </si>
  <si>
    <t>Catalogue recu et archive</t>
  </si>
  <si>
    <t>PRD-020</t>
  </si>
  <si>
    <t>Obtenir des photos reelles du produit (non catalogue)</t>
  </si>
  <si>
    <t>Photos de catalogue non representatives du lot reel</t>
  </si>
  <si>
    <t>Demander photos reelles datees du produit et du lot</t>
  </si>
  <si>
    <t>Photos datees</t>
  </si>
  <si>
    <t>Photos correspondent au produit commande</t>
  </si>
  <si>
    <t>PRD-021</t>
  </si>
  <si>
    <t>Obtenir une video du produit en fonctionnement si pertinent</t>
  </si>
  <si>
    <t>Si produit fonctionnel complexe</t>
  </si>
  <si>
    <t>Panne ou dysfonctionnement non detectable sur photo</t>
  </si>
  <si>
    <t>Demander video de test fonctionnel</t>
  </si>
  <si>
    <t>Video datee</t>
  </si>
  <si>
    <t>Fonctionnement demontre</t>
  </si>
  <si>
    <t>PRD-022</t>
  </si>
  <si>
    <t>Demander un echantillon physique si le risque le justifie</t>
  </si>
  <si>
    <t>Si premiere commande ou montant eleve</t>
  </si>
  <si>
    <t>Ecart qualite non detectable sans echantillon</t>
  </si>
  <si>
    <t>Faire venir un echantillon avant lancement production</t>
  </si>
  <si>
    <t>Echantillon physique valide</t>
  </si>
  <si>
    <t>Echantillon conforme et valide par le client</t>
  </si>
  <si>
    <t>PRD-023</t>
  </si>
  <si>
    <t>Identifier les risques techniques specifiques du produit</t>
  </si>
  <si>
    <t>Risque technique non anticipe</t>
  </si>
  <si>
    <t>Analyse technique croisee avec le cahier des charges client</t>
  </si>
  <si>
    <t>Note d'analyse technique</t>
  </si>
  <si>
    <t>Risques identifies et communiques</t>
  </si>
  <si>
    <t>PRD-024</t>
  </si>
  <si>
    <t>Verifier la coherence produit / commande client</t>
  </si>
  <si>
    <t>Produit livre different de la demande initiale du client</t>
  </si>
  <si>
    <t>Comparer specifications client vs specifications fournisseur</t>
  </si>
  <si>
    <t>Cahier des charges client + fiche technique</t>
  </si>
  <si>
    <t>Coherence totale confirmee</t>
  </si>
  <si>
    <t>COM-001</t>
  </si>
  <si>
    <t>1. Confirmation client</t>
  </si>
  <si>
    <t>Conditions commerciales et contractuelles</t>
  </si>
  <si>
    <t>Obtenir la pro forma complete et signee</t>
  </si>
  <si>
    <t>Absence de base contractuelle claire</t>
  </si>
  <si>
    <t>Demander pro forma finale signee par le fournisseur</t>
  </si>
  <si>
    <t>Pro forma signee</t>
  </si>
  <si>
    <t>Tous les champs obligatoires renseignes</t>
  </si>
  <si>
    <t>COM-002</t>
  </si>
  <si>
    <t>Obtenir ou etablir le bon de commande</t>
  </si>
  <si>
    <t>Absence de preuve d'engagement d'achat</t>
  </si>
  <si>
    <t>Emettre / faire signer le bon de commande</t>
  </si>
  <si>
    <t>Bon de commande signe</t>
  </si>
  <si>
    <t>Signe par les deux parties</t>
  </si>
  <si>
    <t>COM-003</t>
  </si>
  <si>
    <t>Obtenir un contrat si montant ou risque eleve</t>
  </si>
  <si>
    <t>Si montant &gt; seuil interne ou produit sensible</t>
  </si>
  <si>
    <t>Absence de recours contractuel en cas de litige</t>
  </si>
  <si>
    <t>Faire signer un contrat detaille</t>
  </si>
  <si>
    <t>Contrat signe</t>
  </si>
  <si>
    <t>Clauses cles couvertes (qualite, delai, penalites)</t>
  </si>
  <si>
    <t>COM-004</t>
  </si>
  <si>
    <t>Verifier la coherence prix unitaire / prix total / quantite</t>
  </si>
  <si>
    <t>Erreur de calcul ou de saisie</t>
  </si>
  <si>
    <t>Recalculer et comparer avec la commande client</t>
  </si>
  <si>
    <t>Pro forma</t>
  </si>
  <si>
    <t>Calcul exact et coherent</t>
  </si>
  <si>
    <t>COM-005</t>
  </si>
  <si>
    <t>Verifier la devise de facturation</t>
  </si>
  <si>
    <t>Risque de change non anticipe</t>
  </si>
  <si>
    <t>Confirmer devise et comparer au contrat client</t>
  </si>
  <si>
    <t>Devise conforme aux accords</t>
  </si>
  <si>
    <t>COM-006</t>
  </si>
  <si>
    <t>Verifier la tolerance de quantite acceptee (+/-%)</t>
  </si>
  <si>
    <t>Livraison partielle ou excedentaire non prevue</t>
  </si>
  <si>
    <t>Faire preciser la tolerance par ecrit</t>
  </si>
  <si>
    <t>Pro forma / contrat</t>
  </si>
  <si>
    <t>Tolerance explicite et acceptable</t>
  </si>
  <si>
    <t>COM-007</t>
  </si>
  <si>
    <t>Confirmer l'Incoterm retenu</t>
  </si>
  <si>
    <t>Repartition des couts et risques mal comprise</t>
  </si>
  <si>
    <t>Verifier coherence Incoterm entre pro forma, contrat et transport</t>
  </si>
  <si>
    <t>Incoterm identique partout</t>
  </si>
  <si>
    <t>COM-008</t>
  </si>
  <si>
    <t>Obtenir le delai de production engage par ecrit</t>
  </si>
  <si>
    <t>Retard non contractualisable</t>
  </si>
  <si>
    <t>Faire indiquer le delai precis en jours/semaines</t>
  </si>
  <si>
    <t>Delai chiffre et date de depart definie</t>
  </si>
  <si>
    <t>COM-009</t>
  </si>
  <si>
    <t>Obtenir le delai d'expedition engage</t>
  </si>
  <si>
    <t>Depassement de delai sans recours</t>
  </si>
  <si>
    <t>Faire indiquer la date ou le delai d'expedition</t>
  </si>
  <si>
    <t>Delai chiffre et accepte</t>
  </si>
  <si>
    <t>COM-010</t>
  </si>
  <si>
    <t>Verifier les clauses d'emballage et de marquage</t>
  </si>
  <si>
    <t>Emballage inadapte au transport ou au marche</t>
  </si>
  <si>
    <t>Faire preciser type d'emballage et marquage dans le contrat</t>
  </si>
  <si>
    <t>Contrat / pro forma</t>
  </si>
  <si>
    <t>Clause presente et conforme au bloc 11</t>
  </si>
  <si>
    <t>COM-011</t>
  </si>
  <si>
    <t>Verifier les clauses de garantie</t>
  </si>
  <si>
    <t>Absence de recours en cas de panne</t>
  </si>
  <si>
    <t>Faire preciser duree et etendue de garantie</t>
  </si>
  <si>
    <t>Contrat</t>
  </si>
  <si>
    <t>Garantie ecrite et chiffree</t>
  </si>
  <si>
    <t>COM-012</t>
  </si>
  <si>
    <t>Verifier les clauses de penalites de retard</t>
  </si>
  <si>
    <t>Si contrat formel</t>
  </si>
  <si>
    <t>Retard sans consequence pour le fournisseur</t>
  </si>
  <si>
    <t>Negocier une clause de penalite</t>
  </si>
  <si>
    <t>Clause de penalite presente ou justification de son absence</t>
  </si>
  <si>
    <t>COM-013</t>
  </si>
  <si>
    <t>Verifier la clause de responsabilite en cas de non-conformite</t>
  </si>
  <si>
    <t>Aucun recours en cas de produit non conforme</t>
  </si>
  <si>
    <t>Faire preciser les modalites de remplacement/remboursement</t>
  </si>
  <si>
    <t>Clause claire et acceptee</t>
  </si>
  <si>
    <t>COM-014</t>
  </si>
  <si>
    <t>Verifier la coherence entre pro forma, bon de commande et contrat</t>
  </si>
  <si>
    <t>Incoherence exploitee en cas de litige</t>
  </si>
  <si>
    <t>Comparer ligne a ligne les 3 documents</t>
  </si>
  <si>
    <t>Les 3 documents</t>
  </si>
  <si>
    <t>Parfaite coherence ou corrections effectuees</t>
  </si>
  <si>
    <t>PAI-001</t>
  </si>
  <si>
    <t>4. Paiement avance</t>
  </si>
  <si>
    <t>Paiement international</t>
  </si>
  <si>
    <t>Confirmer le montant et le pourcentage de l'avance</t>
  </si>
  <si>
    <t>Avance excessive sans garantie</t>
  </si>
  <si>
    <t>Verifier % avance vs politique ULTEX</t>
  </si>
  <si>
    <t>Avance conforme a la politique interne</t>
  </si>
  <si>
    <t>PAI-002</t>
  </si>
  <si>
    <t>Confirmer le reliquat et sa condition de declenchement</t>
  </si>
  <si>
    <t>Reliquat paye avant verification qualite</t>
  </si>
  <si>
    <t>Faire preciser que le reliquat est du apres inspection</t>
  </si>
  <si>
    <t>Condition ecrite : reliquat post-inspection</t>
  </si>
  <si>
    <t>PAI-003</t>
  </si>
  <si>
    <t>Verifier l'identite exacte du beneficiaire du virement</t>
  </si>
  <si>
    <t>Detournement de fonds vers un tiers</t>
  </si>
  <si>
    <t>Comparer nom beneficiaire / nom fournisseur / nom facture</t>
  </si>
  <si>
    <t>RIB + facture</t>
  </si>
  <si>
    <t>Identite strictement identique</t>
  </si>
  <si>
    <t>PAI-004</t>
  </si>
  <si>
    <t>Verifier la coherence du compte bancaire (pays, banque)</t>
  </si>
  <si>
    <t>Compte dans un pays sans lien avec le fournisseur</t>
  </si>
  <si>
    <t>Verifier pays de la banque vs pays du fournisseur</t>
  </si>
  <si>
    <t>RIB / SWIFT</t>
  </si>
  <si>
    <t>Coherence geographique ou justification ecrite</t>
  </si>
  <si>
    <t>PAI-005</t>
  </si>
  <si>
    <t>Confirmer la domiciliation bancaire du dossier</t>
  </si>
  <si>
    <t>Impossibilite de payer / de dedouaner</t>
  </si>
  <si>
    <t>Ouvrir la domiciliation aupres de la banque</t>
  </si>
  <si>
    <t>Attestation de domiciliation</t>
  </si>
  <si>
    <t>Domiciliation active et numero obtenu</t>
  </si>
  <si>
    <t>PAI-006</t>
  </si>
  <si>
    <t>Etablir l'engagement d'importation si requis</t>
  </si>
  <si>
    <t>Selon reglementation du produit / montant</t>
  </si>
  <si>
    <t>Blocage douanier a l'arrivee</t>
  </si>
  <si>
    <t>Deposer l'engagement d'importation via PortNet</t>
  </si>
  <si>
    <t>Engagement d'importation valide</t>
  </si>
  <si>
    <t>Engagement enregistre et valide</t>
  </si>
  <si>
    <t>PAI-007</t>
  </si>
  <si>
    <t>Verifier les obligations Office des Changes</t>
  </si>
  <si>
    <t>Non-conformite reglementaire de change</t>
  </si>
  <si>
    <t>Verifier plafonds et justificatifs requis par l'Office des Changes</t>
  </si>
  <si>
    <t>Note de conformite change</t>
  </si>
  <si>
    <t>Conformite confirmee</t>
  </si>
  <si>
    <t>PAI-008</t>
  </si>
  <si>
    <t>Determiner le mode de paiement (virement, CAD, LC)</t>
  </si>
  <si>
    <t>Mode de paiement inadapte au niveau de risque</t>
  </si>
  <si>
    <t>Choisir le mode selon le niveau de confiance fournisseur</t>
  </si>
  <si>
    <t>Contrat / instructions bancaires</t>
  </si>
  <si>
    <t>Mode coherent avec le niveau de risque</t>
  </si>
  <si>
    <t>PAI-009</t>
  </si>
  <si>
    <t>6. Paiement reliquat</t>
  </si>
  <si>
    <t>Mettre en place une remise documentaire (CAD) si applicable</t>
  </si>
  <si>
    <t>Si fournisseur peu connu ou montant eleve</t>
  </si>
  <si>
    <t>Paiement sans garantie de reception des documents</t>
  </si>
  <si>
    <t>Negocier un paiement contre documents avec la banque</t>
  </si>
  <si>
    <t>Instructions CAD a la banque</t>
  </si>
  <si>
    <t>CAD mise en place et confirmee par la banque</t>
  </si>
  <si>
    <t>PAI-010</t>
  </si>
  <si>
    <t>Mettre en place une lettre de credit si applicable</t>
  </si>
  <si>
    <t>Si montant tres eleve ou fournisseur a risque</t>
  </si>
  <si>
    <t>Paiement sans garantie bancaire</t>
  </si>
  <si>
    <t>Emettre la LC via la banque avec conditions precises</t>
  </si>
  <si>
    <t>Lettre de credit emise</t>
  </si>
  <si>
    <t>LC conforme et confirmee par la banque du fournisseur</t>
  </si>
  <si>
    <t>PAI-011</t>
  </si>
  <si>
    <t>Obtenir la preuve SWIFT de chaque paiement effectue</t>
  </si>
  <si>
    <t>Absence de preuve en cas de litige</t>
  </si>
  <si>
    <t>Archiver le SWIFT de chaque virement</t>
  </si>
  <si>
    <t>Copie SWIFT</t>
  </si>
  <si>
    <t>SWIFT correspond au montant et au beneficiaire prevus</t>
  </si>
  <si>
    <t>PAI-012</t>
  </si>
  <si>
    <t>Bloquer le reliquat jusqu'a validation qualite</t>
  </si>
  <si>
    <t>Paiement integral avant verification produit</t>
  </si>
  <si>
    <t>Configurer le paiement du reliquat comme conditionnel</t>
  </si>
  <si>
    <t>Instruction de paiement conditionnee</t>
  </si>
  <si>
    <t>Reliquat verse uniquement apres validation qualite</t>
  </si>
  <si>
    <t>PAI-013</t>
  </si>
  <si>
    <t>Evaluer le besoin d'assurance-credit ou anti-fraude</t>
  </si>
  <si>
    <t>Si montant eleve et fournisseur nouveau</t>
  </si>
  <si>
    <t>Perte totale en cas de fraude avérée</t>
  </si>
  <si>
    <t>Etudier une couverture assurance sur la transaction</t>
  </si>
  <si>
    <t>Devis / police d'assurance</t>
  </si>
  <si>
    <t>Decision documentee (souscrite ou refusee et justifiee)</t>
  </si>
  <si>
    <t>PAI-014</t>
  </si>
  <si>
    <t>Verifier les conditions de remboursement en cas de non-livraison</t>
  </si>
  <si>
    <t>Absence de recours si le fournisseur n'expedie pas</t>
  </si>
  <si>
    <t>Faire preciser par ecrit les conditions de remboursement</t>
  </si>
  <si>
    <t>Clause de remboursement claire</t>
  </si>
  <si>
    <t>TAR-001</t>
  </si>
  <si>
    <t>Classement tarifaire (SH)</t>
  </si>
  <si>
    <t>Etablir la description douaniere precise du produit</t>
  </si>
  <si>
    <t>Classement errone par description imprecise</t>
  </si>
  <si>
    <t>Redigier une description technique complete (matiere, fonction, usage)</t>
  </si>
  <si>
    <t>Fiche technique + description douaniere</t>
  </si>
  <si>
    <t>Description validee par le declarant</t>
  </si>
  <si>
    <t>TAR-002</t>
  </si>
  <si>
    <t>Relever la position SH utilisee par le fournisseur</t>
  </si>
  <si>
    <t>Position fournisseur non fiable ou erronee a l'origine</t>
  </si>
  <si>
    <t>Demander la position SH indiquee sur la facture / declaration export</t>
  </si>
  <si>
    <t>Facture / declaration d'exportation</t>
  </si>
  <si>
    <t>Position notee et comparee</t>
  </si>
  <si>
    <t>TAR-003</t>
  </si>
  <si>
    <t>Proposer la position SH par ULTEX (avis declarant)</t>
  </si>
  <si>
    <t>Absence d'avis professionnel avant engagement</t>
  </si>
  <si>
    <t>Analyse par le declarant en douane ULTEX</t>
  </si>
  <si>
    <t>Note d'avis du declarant</t>
  </si>
  <si>
    <t>Position argumentee par regles de classement</t>
  </si>
  <si>
    <t>TAR-004</t>
  </si>
  <si>
    <t>Identifier les positions SH alternatives possibles</t>
  </si>
  <si>
    <t>Risque de reclassement a la visite douaniere</t>
  </si>
  <si>
    <t>Lister les positions concurrentes plausibles</t>
  </si>
  <si>
    <t>Note d'analyse comparative</t>
  </si>
  <si>
    <t>Alternatives documentees avec argumentaire</t>
  </si>
  <si>
    <t>TAR-005</t>
  </si>
  <si>
    <t>Verifier les regles generales de classement applicables</t>
  </si>
  <si>
    <t>Application incorrecte des RGI</t>
  </si>
  <si>
    <t>Appliquer les regles generales interpretatives 1 a 6</t>
  </si>
  <si>
    <t>Note technique du declarant</t>
  </si>
  <si>
    <t>Regle applicable citee et justifiee</t>
  </si>
  <si>
    <t>TAR-006</t>
  </si>
  <si>
    <t>Verifier les notes de section et de chapitre pertinentes</t>
  </si>
  <si>
    <t>Exclusion ou inclusion manquee</t>
  </si>
  <si>
    <t>Consulter notes legales du tarif des douanes marocain</t>
  </si>
  <si>
    <t>Extrait du tarif des douanes</t>
  </si>
  <si>
    <t>Notes prises en compte dans l'analyse</t>
  </si>
  <si>
    <t>TAR-007</t>
  </si>
  <si>
    <t>Classer selon la matiere constitutive dominante</t>
  </si>
  <si>
    <t>Si produit composite</t>
  </si>
  <si>
    <t>Erreur de classement matiere</t>
  </si>
  <si>
    <t>Determiner la matiere qui donne son caractere essentiel</t>
  </si>
  <si>
    <t>Fiche de composition</t>
  </si>
  <si>
    <t>Matiere dominante identifiee et documentee</t>
  </si>
  <si>
    <t>TAR-008</t>
  </si>
  <si>
    <t>Classer selon la fonction principale du produit</t>
  </si>
  <si>
    <t>Si produit multifonction</t>
  </si>
  <si>
    <t>Confusion fonction principale/accessoire</t>
  </si>
  <si>
    <t>Determiner la fonction principale selon usage declare</t>
  </si>
  <si>
    <t>Fonction principale identifiee</t>
  </si>
  <si>
    <t>TAR-009</t>
  </si>
  <si>
    <t>Evaluer le risque de reclassement a la visite douaniere</t>
  </si>
  <si>
    <t>Surcout ou blocage a l'importation</t>
  </si>
  <si>
    <t>Estimer la probabilite de contestation par l'administration</t>
  </si>
  <si>
    <t>Note de risque</t>
  </si>
  <si>
    <t>Risque qualifie (faible/moyen/eleve) et documente</t>
  </si>
  <si>
    <t>TAR-010</t>
  </si>
  <si>
    <t>Obtenir si necessaire une confirmation officielle de classement (RTC)</t>
  </si>
  <si>
    <t>Si risque de reclassement eleve ou position ambigue</t>
  </si>
  <si>
    <t>Litige douanier bloquant a l'arrivee</t>
  </si>
  <si>
    <t>Deposer une demande de renseignement tarifaire contraignant</t>
  </si>
  <si>
    <t>Reponse officielle de l'administration</t>
  </si>
  <si>
    <t>RTC obtenu ou decision documentee de ne pas le demander</t>
  </si>
  <si>
    <t>VAL-001</t>
  </si>
  <si>
    <t>Valeur douaniere</t>
  </si>
  <si>
    <t>Verifier le prix facture par unite</t>
  </si>
  <si>
    <t>Sous-facturation ou erreur de prix</t>
  </si>
  <si>
    <t>Comparer prix unitaire facture vs prix marche connu</t>
  </si>
  <si>
    <t>Facture / pro forma</t>
  </si>
  <si>
    <t>Prix coherent ou ecart justifie</t>
  </si>
  <si>
    <t>VAL-002</t>
  </si>
  <si>
    <t>Calculer le prix par kilogramme</t>
  </si>
  <si>
    <t>Anomalie de valeur non visible au prix unitaire</t>
  </si>
  <si>
    <t>Calculer valeur/poids net et comparer aux references</t>
  </si>
  <si>
    <t>Facture + packing list</t>
  </si>
  <si>
    <t>Ratio coherent avec produits similaires</t>
  </si>
  <si>
    <t>VAL-003</t>
  </si>
  <si>
    <t>Calculer le prix par tonne si pertinent</t>
  </si>
  <si>
    <t>Si produit en vrac ou poids important</t>
  </si>
  <si>
    <t>Anomalie de valeur sur gros volumes</t>
  </si>
  <si>
    <t>Calculer et comparer aux indices de marche</t>
  </si>
  <si>
    <t>Ratio coherent</t>
  </si>
  <si>
    <t>VAL-004</t>
  </si>
  <si>
    <t>Comparer avec les valeurs de produits identiques deja importes</t>
  </si>
  <si>
    <t>Si historique disponible</t>
  </si>
  <si>
    <t>Sous-evaluation detectable par la douane</t>
  </si>
  <si>
    <t>Consulter historique ULTEX ou bases de donnees douanieres</t>
  </si>
  <si>
    <t>Historique de dedouanement</t>
  </si>
  <si>
    <t>Ecart explique si present</t>
  </si>
  <si>
    <t>VAL-005</t>
  </si>
  <si>
    <t>Comparer avec les valeurs de produits similaires du marche</t>
  </si>
  <si>
    <t>Valeur non credible en cas de controle</t>
  </si>
  <si>
    <t>Recherche de prix de produits comparables</t>
  </si>
  <si>
    <t>Etude de marche / catalogues</t>
  </si>
  <si>
    <t>Valeur dans une fourchette credible</t>
  </si>
  <si>
    <t>VAL-006</t>
  </si>
  <si>
    <t>Identifier le risque de valeur minimale ou de reference douaniere</t>
  </si>
  <si>
    <t>Selon produit / origine</t>
  </si>
  <si>
    <t>Redressement automatique par la douane</t>
  </si>
  <si>
    <t>Verifier existence de valeurs de reference ADII pour ce type de produit</t>
  </si>
  <si>
    <t>Note du declarant</t>
  </si>
  <si>
    <t>Risque identifie et budgete</t>
  </si>
  <si>
    <t>VAL-007</t>
  </si>
  <si>
    <t>Obtenir la justification ecrite de toute remise commerciale</t>
  </si>
  <si>
    <t>Si remise &gt; 10%</t>
  </si>
  <si>
    <t>Remise consideree comme sous-facturation</t>
  </si>
  <si>
    <t>Demander explication ecrite (volume, fidelite, promotion)</t>
  </si>
  <si>
    <t>Lettre de justification + historique de negociation</t>
  </si>
  <si>
    <t>VAL-008</t>
  </si>
  <si>
    <t>Archiver les echanges de negociation commerciale</t>
  </si>
  <si>
    <t>Absence de preuve de realite du prix negocie</t>
  </si>
  <si>
    <t>Conserver emails/messages de negociation</t>
  </si>
  <si>
    <t>Echanges ecrits</t>
  </si>
  <si>
    <t>Echanges disponibles dans le dossier</t>
  </si>
  <si>
    <t>VAL-009</t>
  </si>
  <si>
    <t>Obtenir la liste de prix officielle du fournisseur si disponible</t>
  </si>
  <si>
    <t>Absence de reference de prix standard</t>
  </si>
  <si>
    <t>Demander price list catalogue</t>
  </si>
  <si>
    <t>Liste de prix</t>
  </si>
  <si>
    <t>Liste obtenue et comparee</t>
  </si>
  <si>
    <t>VAL-010</t>
  </si>
  <si>
    <t>Obtenir la declaration d'exportation du pays d'origine</t>
  </si>
  <si>
    <t>Valeur declaree a l'export incoherente avec la facture</t>
  </si>
  <si>
    <t>Demander copie de la declaration d'exportation</t>
  </si>
  <si>
    <t>Declaration d'exportation</t>
  </si>
  <si>
    <t>Valeur coherente avec la facture d'importation</t>
  </si>
  <si>
    <t>VAL-011</t>
  </si>
  <si>
    <t>Conserver la preuve de paiement reel du montant facture</t>
  </si>
  <si>
    <t>Preuve de paiement absente en cas de controle</t>
  </si>
  <si>
    <t>Archiver SWIFT / preuve de virement</t>
  </si>
  <si>
    <t>Preuve de paiement</t>
  </si>
  <si>
    <t>Montant paye correspond a la facture</t>
  </si>
  <si>
    <t>VAL-012</t>
  </si>
  <si>
    <t>Verifier les elements a ajouter a la valeur (transport, assurance, commissions)</t>
  </si>
  <si>
    <t>Valeur en douane sous-estimee (base CIF)</t>
  </si>
  <si>
    <t>Identifier tous les couts a inclure selon Incoterm</t>
  </si>
  <si>
    <t>Facture transport / assurance</t>
  </si>
  <si>
    <t>Elements ajoutes correctement selon regles de valeur</t>
  </si>
  <si>
    <t>VAL-013</t>
  </si>
  <si>
    <t>9. Preparation douaniere</t>
  </si>
  <si>
    <t>Estimer un scenario de valeur haute pour la reserve financiere</t>
  </si>
  <si>
    <t>Sous-provisionnement du budget douanier</t>
  </si>
  <si>
    <t>Calculer scenario bas / moyen / haut de redressement possible</t>
  </si>
  <si>
    <t>Note de calcul du declarant</t>
  </si>
  <si>
    <t>Scenario haut documente et valide par Oumaima</t>
  </si>
  <si>
    <t>VAL-014</t>
  </si>
  <si>
    <t>Valider le budget douanier avant arrivee</t>
  </si>
  <si>
    <t>Blocage financier a l'arrivee de la marchandise</t>
  </si>
  <si>
    <t>Consolider droits, taxes et reserve dans un budget final</t>
  </si>
  <si>
    <t>Fiche budget douanier</t>
  </si>
  <si>
    <t>Budget valide par Oumaima avant ETA</t>
  </si>
  <si>
    <t>P5</t>
  </si>
  <si>
    <t>REG-001</t>
  </si>
  <si>
    <t>Reglementation et conformite</t>
  </si>
  <si>
    <t>Verifier si une autorisation du Ministere de l'Industrie et du Commerce est requise</t>
  </si>
  <si>
    <t>Selon produit</t>
  </si>
  <si>
    <t>Blocage a l'importation faute d'autorisation</t>
  </si>
  <si>
    <t>Verifier la liste des produits soumis a licence d'importation</t>
  </si>
  <si>
    <t>Note reglementaire</t>
  </si>
  <si>
    <t>Statut clarifie (requis / non requis)</t>
  </si>
  <si>
    <t>REG-002</t>
  </si>
  <si>
    <t>Verifier l'exigence d'un Certificat de Conformite (COC)</t>
  </si>
  <si>
    <t>Selon produit / pays</t>
  </si>
  <si>
    <t>Marchandise bloquee au port pour absence de COC</t>
  </si>
  <si>
    <t>Verifier programme COC applicable au produit et pays d'origine</t>
  </si>
  <si>
    <t>COC ou attestation de non-applicabilite</t>
  </si>
  <si>
    <t>COC obtenu ou non-applicabilite confirmee par organisme officiel</t>
  </si>
  <si>
    <t>REG-003</t>
  </si>
  <si>
    <t>Determiner si un controle a l'origine est requis</t>
  </si>
  <si>
    <t>Blocage embarquement faute de controle prealable</t>
  </si>
  <si>
    <t>Verifier aupres de l'organisme de controle a l'origine</t>
  </si>
  <si>
    <t>Certificat de controle a l'origine</t>
  </si>
  <si>
    <t>Controle realise et certificat obtenu</t>
  </si>
  <si>
    <t>REG-004</t>
  </si>
  <si>
    <t>Determiner si un controle a destination est requis</t>
  </si>
  <si>
    <t>Blocage au port marocain</t>
  </si>
  <si>
    <t>Verifier exigences de controle a l'arrivee (laboratoires, ONSSA, etc.)</t>
  </si>
  <si>
    <t>Controle a destination planifie</t>
  </si>
  <si>
    <t>REG-005</t>
  </si>
  <si>
    <t>Verifier l'exigence IMANOR</t>
  </si>
  <si>
    <t>Si produit soumis a homologation IMANOR</t>
  </si>
  <si>
    <t>Produit non homologue = interdiction de mise sur le marche</t>
  </si>
  <si>
    <t>Verifier la liste des produits soumis a homologation IMANOR</t>
  </si>
  <si>
    <t>Certificat IMANOR ou attestation de non-concernement</t>
  </si>
  <si>
    <t>Statut clarifie avec preuve officielle</t>
  </si>
  <si>
    <t>REG-006</t>
  </si>
  <si>
    <t>Verifier l'exigence ONSSA</t>
  </si>
  <si>
    <t>Si produit alimentaire, agricole ou animal</t>
  </si>
  <si>
    <t>Refus d'importation / destruction de la marchandise</t>
  </si>
  <si>
    <t>Verifier autorisation sanitaire/phytosanitaire/veterinaire ONSSA</t>
  </si>
  <si>
    <t>Autorisation ONSSA</t>
  </si>
  <si>
    <t>Autorisation obtenue avant expedition</t>
  </si>
  <si>
    <t>REG-007</t>
  </si>
  <si>
    <t>Verifier l'exigence ANRT</t>
  </si>
  <si>
    <t>Si produit radio, telecom ou emettant des ondes</t>
  </si>
  <si>
    <t>Materiel bloque en douane sans agrement ANRT</t>
  </si>
  <si>
    <t>Verifier necessite d'un agrement ANRT</t>
  </si>
  <si>
    <t>Agrement ANRT ou attestation de non-concernement</t>
  </si>
  <si>
    <t>REG-008</t>
  </si>
  <si>
    <t>Verifier l'exigence d'autorisation sanitaire</t>
  </si>
  <si>
    <t>Si produit a usage sanitaire</t>
  </si>
  <si>
    <t>Blocage a l'importation</t>
  </si>
  <si>
    <t>Verifier aupres du Ministere de la Sante si applicable</t>
  </si>
  <si>
    <t>Autorisation sanitaire</t>
  </si>
  <si>
    <t>Autorisation obtenue ou non-concernement confirme</t>
  </si>
  <si>
    <t>REG-009</t>
  </si>
  <si>
    <t>Verifier l'exigence d'autorisation phytosanitaire</t>
  </si>
  <si>
    <t>Si produit vegetal</t>
  </si>
  <si>
    <t>Destruction ou refoulement a la frontiere</t>
  </si>
  <si>
    <t>Verifier exigence ONSSA phytosanitaire</t>
  </si>
  <si>
    <t>Certificat phytosanitaire</t>
  </si>
  <si>
    <t>Certificat obtenu avant expedition</t>
  </si>
  <si>
    <t>REG-010</t>
  </si>
  <si>
    <t>Verifier le statut dispositif medical si applicable</t>
  </si>
  <si>
    <t>Si produit medical</t>
  </si>
  <si>
    <t>Vente illegale sans enregistrement</t>
  </si>
  <si>
    <t>Verifier enregistrement aupres de la Direction du Medicament et de la Pharmacie</t>
  </si>
  <si>
    <t>Enregistrement DMP ou attestation de non-concernement</t>
  </si>
  <si>
    <t>Statut clarifie</t>
  </si>
  <si>
    <t>REG-011</t>
  </si>
  <si>
    <t>Verifier le statut cosmetique si applicable</t>
  </si>
  <si>
    <t>Si produit cosmetique</t>
  </si>
  <si>
    <t>Non-conformite etiquetage/composition</t>
  </si>
  <si>
    <t>Verifier reglementation cosmetique marocaine (declaration, INCI)</t>
  </si>
  <si>
    <t>Dossier cosmetique / fiche INCI</t>
  </si>
  <si>
    <t>REG-012</t>
  </si>
  <si>
    <t>Verifier le statut produit chimique / fiche de securite (FDS)</t>
  </si>
  <si>
    <t>Si produit chimique</t>
  </si>
  <si>
    <t>Transport et stockage non conformes / danger</t>
  </si>
  <si>
    <t>Demander la fiche de donnees de securite (FDS/MSDS)</t>
  </si>
  <si>
    <t>FDS a jour</t>
  </si>
  <si>
    <t>FDS conforme et disponible avant expedition</t>
  </si>
  <si>
    <t>REG-013</t>
  </si>
  <si>
    <t>Verifier le classement ADR si marchandise dangereuse</t>
  </si>
  <si>
    <t>Si produit dangereux (batterie, liquide, chimique)</t>
  </si>
  <si>
    <t>Refus de transport ou d'embarquement</t>
  </si>
  <si>
    <t>Verifier classe ADR/IMDG et documents associes</t>
  </si>
  <si>
    <t>Certificat ADR / declaration marchandise dangereuse</t>
  </si>
  <si>
    <t>Classement confirme et documents conformes</t>
  </si>
  <si>
    <t>REG-014</t>
  </si>
  <si>
    <t>Verifier l'exigence d'homologation specifique produit</t>
  </si>
  <si>
    <t>Selon famille de produit (voir bloc 18)</t>
  </si>
  <si>
    <t>Produit interdit a la vente sans homologation</t>
  </si>
  <si>
    <t>Identifier l'organisme d'homologation concerne</t>
  </si>
  <si>
    <t>Certificat d'homologation</t>
  </si>
  <si>
    <t>Homologation obtenue ou non-concernement confirme</t>
  </si>
  <si>
    <t>REG-015</t>
  </si>
  <si>
    <t>Verifier l'exigence de licence d'importation specifique</t>
  </si>
  <si>
    <t>Blocage douanier sans licence</t>
  </si>
  <si>
    <t>Verifier liste des produits soumis a licence prealable</t>
  </si>
  <si>
    <t>Licence d'importation</t>
  </si>
  <si>
    <t>Licence obtenue avant expedition si requise</t>
  </si>
  <si>
    <t>REG-016</t>
  </si>
  <si>
    <t>Verifier la conformite de l'etiquetage et du marquage obligatoires</t>
  </si>
  <si>
    <t>Retenue douaniere pour etiquetage non conforme</t>
  </si>
  <si>
    <t>Verifier langue, mentions obligatoires, marquage d'origine</t>
  </si>
  <si>
    <t>Photos etiquetage produit</t>
  </si>
  <si>
    <t>Etiquetage conforme aux exigences marocaines</t>
  </si>
  <si>
    <t>REG-017</t>
  </si>
  <si>
    <t>Verifier la validite de chaque certificat obtenu</t>
  </si>
  <si>
    <t>Certificat expire au moment du dedouanement</t>
  </si>
  <si>
    <t>Controler dates de validite de tous les certificats</t>
  </si>
  <si>
    <t>Certificats</t>
  </si>
  <si>
    <t>Tous valides a la date d'arrivee prevue</t>
  </si>
  <si>
    <t>REG-018</t>
  </si>
  <si>
    <t>Verifier la correspondance certificat / produit / modele</t>
  </si>
  <si>
    <t>Certificat ne correspondant pas au lot reellement expedie</t>
  </si>
  <si>
    <t>Comparer references du certificat avec la facture et le produit</t>
  </si>
  <si>
    <t>Certificats + facture</t>
  </si>
  <si>
    <t>Correspondance exacte confirmee</t>
  </si>
  <si>
    <t>QUA-001</t>
  </si>
  <si>
    <t>5. Production</t>
  </si>
  <si>
    <t>Production et controle qualite</t>
  </si>
  <si>
    <t>Valider l'echantillon avant lancement de production</t>
  </si>
  <si>
    <t>Si echantillon demande</t>
  </si>
  <si>
    <t>Production lancee sur base non validee</t>
  </si>
  <si>
    <t>Faire valider l'echantillon par le client ou Oumaima</t>
  </si>
  <si>
    <t>Validation ecrite de l'echantillon</t>
  </si>
  <si>
    <t>Validation formelle obtenue avant lancement</t>
  </si>
  <si>
    <t>QUA-002</t>
  </si>
  <si>
    <t>Valider par ecrit le modele et les caracteristiques finales</t>
  </si>
  <si>
    <t>Divergence entre accord verbal et production reelle</t>
  </si>
  <si>
    <t>Faire confirmer par ecrit le modele final retenu</t>
  </si>
  <si>
    <t>Confirmation ecrite fournisseur</t>
  </si>
  <si>
    <t>Confirmation obtenue avant lancement production</t>
  </si>
  <si>
    <t>QUA-003</t>
  </si>
  <si>
    <t>Obtenir la confirmation de lancement de production</t>
  </si>
  <si>
    <t>Absence de visibilite sur le demarrage reel</t>
  </si>
  <si>
    <t>Demander confirmation ecrite + date de lancement</t>
  </si>
  <si>
    <t>Confirmation ecrite + planning</t>
  </si>
  <si>
    <t>Date de lancement communiquee</t>
  </si>
  <si>
    <t>QUA-004</t>
  </si>
  <si>
    <t>Obtenir un planning de production detaille</t>
  </si>
  <si>
    <t>Retard non anticipe</t>
  </si>
  <si>
    <t>Demander planning avec jalons intermediaires</t>
  </si>
  <si>
    <t>Planning de production</t>
  </si>
  <si>
    <t>Planning recu et coherent avec le delai contractuel</t>
  </si>
  <si>
    <t>QUA-005</t>
  </si>
  <si>
    <t>Obtenir des photos de suivi de production</t>
  </si>
  <si>
    <t>Si montant eleve ou produit complexe</t>
  </si>
  <si>
    <t>Absence de visibilite pendant la fabrication</t>
  </si>
  <si>
    <t>Demander photos datees a intervalles reguliers</t>
  </si>
  <si>
    <t>Photos recues conformement au planning</t>
  </si>
  <si>
    <t>QUA-006</t>
  </si>
  <si>
    <t>Obtenir des videos de suivi de production si pertinent</t>
  </si>
  <si>
    <t>Si produit complexe ou fournisseur peu connu</t>
  </si>
  <si>
    <t>Doute sur la realite de la production</t>
  </si>
  <si>
    <t>Demander video datee de la ligne de production</t>
  </si>
  <si>
    <t>Video coherente avec le produit commande</t>
  </si>
  <si>
    <t>QUA-007</t>
  </si>
  <si>
    <t>Controler la matiere utilisee en production</t>
  </si>
  <si>
    <t>Si specifiee au contrat</t>
  </si>
  <si>
    <t>Substitution de matiere non conforme</t>
  </si>
  <si>
    <t>Demander preuve (photo, certificat matiere) de la matiere utilisee</t>
  </si>
  <si>
    <t>Certificat matiere ou photo</t>
  </si>
  <si>
    <t>Matiere conforme a la fiche technique</t>
  </si>
  <si>
    <t>QUA-008</t>
  </si>
  <si>
    <t>Controler les dimensions du produit fini</t>
  </si>
  <si>
    <t>Si critique pour l'usage</t>
  </si>
  <si>
    <t>Non-conformite dimensionnelle a la reception</t>
  </si>
  <si>
    <t>Demander mesures ou rapport de controle dimensionnel</t>
  </si>
  <si>
    <t>Rapport de controle dimensionnel</t>
  </si>
  <si>
    <t>Dimensions conformes a la fiche technique</t>
  </si>
  <si>
    <t>QUA-009</t>
  </si>
  <si>
    <t>Controler le poids du produit fini</t>
  </si>
  <si>
    <t>Si pertinent</t>
  </si>
  <si>
    <t>Ecart de poids impactant transport/douane</t>
  </si>
  <si>
    <t>Demander pesee de controle</t>
  </si>
  <si>
    <t>Rapport de pesee</t>
  </si>
  <si>
    <t>Poids conforme</t>
  </si>
  <si>
    <t>QUA-010</t>
  </si>
  <si>
    <t>Controler la quantite produite vs quantite commandee</t>
  </si>
  <si>
    <t>Livraison partielle ou excedentaire</t>
  </si>
  <si>
    <t>Demander confirmation des quantites produites</t>
  </si>
  <si>
    <t>Rapport de production / packing list preliminaire</t>
  </si>
  <si>
    <t>Quantite conforme a la tolerance acceptee (COM-006)</t>
  </si>
  <si>
    <t>QUA-011</t>
  </si>
  <si>
    <t>Effectuer un test fonctionnel avant expedition</t>
  </si>
  <si>
    <t>Si produit fonctionnel</t>
  </si>
  <si>
    <t>Produit non fonctionnel livre au client</t>
  </si>
  <si>
    <t>Exiger un test de fonctionnement documente</t>
  </si>
  <si>
    <t>Rapport de test fonctionnel</t>
  </si>
  <si>
    <t>Test reussi et documente</t>
  </si>
  <si>
    <t>QUA-012</t>
  </si>
  <si>
    <t>Realiser une inspection avant expedition (tierce partie recommandee)</t>
  </si>
  <si>
    <t>Si montant eleve ou premiere commande</t>
  </si>
  <si>
    <t>Non-conformite decouverte apres paiement du reliquat</t>
  </si>
  <si>
    <t>Mandater une societe d'inspection independante</t>
  </si>
  <si>
    <t>Rapport d'inspection avant expedition</t>
  </si>
  <si>
    <t>Rapport favorable ou reserves levees</t>
  </si>
  <si>
    <t>QUA-013</t>
  </si>
  <si>
    <t>Traiter toute non-conformite detectee en inspection</t>
  </si>
  <si>
    <t>Si non-conformite constatee</t>
  </si>
  <si>
    <t>Expedition d'un produit non conforme</t>
  </si>
  <si>
    <t>Exiger correction et nouvelle inspection avant validation</t>
  </si>
  <si>
    <t>Rapport de correction + nouvelle inspection</t>
  </si>
  <si>
    <t>Non-conformite levee et validee</t>
  </si>
  <si>
    <t>QUA-014</t>
  </si>
  <si>
    <t>Valider l'emballage final avant paiement du reliquat</t>
  </si>
  <si>
    <t>Emballage inadapte decouvert trop tard</t>
  </si>
  <si>
    <t>Verifier emballage sur photos/rapport d'inspection</t>
  </si>
  <si>
    <t>Photos emballage final</t>
  </si>
  <si>
    <t>Emballage conforme au bloc 11</t>
  </si>
  <si>
    <t>QUA-015</t>
  </si>
  <si>
    <t>7. Expedition</t>
  </si>
  <si>
    <t>Donner l'autorisation formelle d'expedition</t>
  </si>
  <si>
    <t>Expedition lancee sans validation qualite</t>
  </si>
  <si>
    <t>Emettre une autorisation ecrite d'expedition apres validation complete</t>
  </si>
  <si>
    <t>Autorisation ecrite (porte de validation 4)</t>
  </si>
  <si>
    <t>Autorisation signee par Oumaima</t>
  </si>
  <si>
    <t>EMB-001</t>
  </si>
  <si>
    <t>Emballage et marquage</t>
  </si>
  <si>
    <t>Verifier le type d'emballage individuel</t>
  </si>
  <si>
    <t>Produit endommage au transport</t>
  </si>
  <si>
    <t>Demander description/photo de l'emballage individuel</t>
  </si>
  <si>
    <t>Photo emballage individuel</t>
  </si>
  <si>
    <t>Adapte au produit et au transport prevu</t>
  </si>
  <si>
    <t>EMB-002</t>
  </si>
  <si>
    <t>Verifier l'emballage exterieur (carton/caisse)</t>
  </si>
  <si>
    <t>Colis endommage pendant la manutention</t>
  </si>
  <si>
    <t>Demander photo de l'emballage exterieur</t>
  </si>
  <si>
    <t>Photo emballage exterieur</t>
  </si>
  <si>
    <t>Robustesse adaptee au mode de transport</t>
  </si>
  <si>
    <t>EMB-003</t>
  </si>
  <si>
    <t>Verifier le nombre de pieces par carton</t>
  </si>
  <si>
    <t>Erreur de comptage a la reception</t>
  </si>
  <si>
    <t>Faire confirmer par ecrit le nombre de pieces/carton</t>
  </si>
  <si>
    <t>Packing list</t>
  </si>
  <si>
    <t>Coherent avec quantite totale</t>
  </si>
  <si>
    <t>EMB-004</t>
  </si>
  <si>
    <t>Verifier les dimensions et poids des cartons/caisses</t>
  </si>
  <si>
    <t>Erreur de calcul volume/poids transport</t>
  </si>
  <si>
    <t>Demander dimensions et poids par colis</t>
  </si>
  <si>
    <t>Coherent avec devis transport</t>
  </si>
  <si>
    <t>EMB-005</t>
  </si>
  <si>
    <t>Verifier si palettisation prevue</t>
  </si>
  <si>
    <t>Selon mode de transport</t>
  </si>
  <si>
    <t>Manutention impossible ou couteuse au port</t>
  </si>
  <si>
    <t>Confirmer palettisation et type de palette</t>
  </si>
  <si>
    <t>Photos / packing list</t>
  </si>
  <si>
    <t>Palettisation adaptee au transport choisi</t>
  </si>
  <si>
    <t>EMB-006</t>
  </si>
  <si>
    <t>Verifier si caisses en bois utilisees et leur conformite NIMP15/ISPM15</t>
  </si>
  <si>
    <t>Si emballage bois</t>
  </si>
  <si>
    <t>Refus a l'importation pour bois non traite</t>
  </si>
  <si>
    <t>Demander marquage NIMP15 visible sur le bois</t>
  </si>
  <si>
    <t>Photo du marquage NIMP15 / ISPM15</t>
  </si>
  <si>
    <t>Marquage present et conforme</t>
  </si>
  <si>
    <t>EMB-007</t>
  </si>
  <si>
    <t>Verifier la protection contre l'humidite</t>
  </si>
  <si>
    <t>Si produit sensible a l'humidite</t>
  </si>
  <si>
    <t>Deterioration pendant le transport maritime</t>
  </si>
  <si>
    <t>Verifier presence de protection (film, dessicant)</t>
  </si>
  <si>
    <t>Photos / fiche emballage</t>
  </si>
  <si>
    <t>Protection adaptee confirmee</t>
  </si>
  <si>
    <t>EMB-008</t>
  </si>
  <si>
    <t>Verifier la protection contre les chocs (produit fragile)</t>
  </si>
  <si>
    <t>Si produit fragile</t>
  </si>
  <si>
    <t>Casse pendant le transport</t>
  </si>
  <si>
    <t>Verifier calage et protection anti-choc</t>
  </si>
  <si>
    <t>Photos emballage</t>
  </si>
  <si>
    <t>Protection anti-choc confirmee</t>
  </si>
  <si>
    <t>EMB-009</t>
  </si>
  <si>
    <t>Verifier les precautions specifiques produit liquide/dangereux</t>
  </si>
  <si>
    <t>Si produit liquide ou dangereux</t>
  </si>
  <si>
    <t>Fuite ou incident de transport</t>
  </si>
  <si>
    <t>Verifier emballage homologue pour le type de produit</t>
  </si>
  <si>
    <t>Certificat d'emballage ADR si applicable</t>
  </si>
  <si>
    <t>Emballage conforme a la reglementation transport</t>
  </si>
  <si>
    <t>EMB-010</t>
  </si>
  <si>
    <t>Verifier l'etiquetage des colis (origine, marque, reference)</t>
  </si>
  <si>
    <t>Confusion a la reception ou en douane</t>
  </si>
  <si>
    <t>Verifier mentions obligatoires sur chaque colis</t>
  </si>
  <si>
    <t>Photos etiquetage colis</t>
  </si>
  <si>
    <t>Mentions completes et lisibles</t>
  </si>
  <si>
    <t>EMB-011</t>
  </si>
  <si>
    <t>Verifier la presence du numero de lot et des dates</t>
  </si>
  <si>
    <t>Si produit perissable ou reglemente</t>
  </si>
  <si>
    <t>Impossibilite de tracabilite</t>
  </si>
  <si>
    <t>Verifier marquage lot/date production/peremption</t>
  </si>
  <si>
    <t>Photos marquage</t>
  </si>
  <si>
    <t>Marquage present et lisible</t>
  </si>
  <si>
    <t>EMB-012</t>
  </si>
  <si>
    <t>Verifier les marques d'expedition (code client/dossier)</t>
  </si>
  <si>
    <t>Confusion entre plusieurs expeditions au port</t>
  </si>
  <si>
    <t>Faire indiquer code client et code dossier sur les colis</t>
  </si>
  <si>
    <t>Photos marquage colis</t>
  </si>
  <si>
    <t>Codes presents et corrects</t>
  </si>
  <si>
    <t>TRA-001</t>
  </si>
  <si>
    <t>8. Transport</t>
  </si>
  <si>
    <t>Transport international</t>
  </si>
  <si>
    <t>Confirmer le mode de transport retenu</t>
  </si>
  <si>
    <t>Mode inadapte au produit ou au delai</t>
  </si>
  <si>
    <t>Confirmer maritime/aerien/routier avec le client et le transitaire</t>
  </si>
  <si>
    <t>Booking confirme</t>
  </si>
  <si>
    <t>Mode coherent avec Incoterm et delai</t>
  </si>
  <si>
    <t>TRA-002</t>
  </si>
  <si>
    <t>Confirmer FCL ou LCL (maritime)</t>
  </si>
  <si>
    <t>Si transport maritime</t>
  </si>
  <si>
    <t>Cout ou delai mal estime</t>
  </si>
  <si>
    <t>Determiner le mode selon le volume</t>
  </si>
  <si>
    <t>Booking / devis transport</t>
  </si>
  <si>
    <t>Mode adapte au volume reel</t>
  </si>
  <si>
    <t>TRA-003</t>
  </si>
  <si>
    <t>Confirmer le type de conteneur necessaire</t>
  </si>
  <si>
    <t>Si maritime</t>
  </si>
  <si>
    <t>Conteneur inadapte (temperature, dimensions)</t>
  </si>
  <si>
    <t>Determiner type (dry, reefer, open top, flat rack)</t>
  </si>
  <si>
    <t>Booking</t>
  </si>
  <si>
    <t>Type confirme et adapte au produit</t>
  </si>
  <si>
    <t>TRA-004</t>
  </si>
  <si>
    <t>Verifier le poids autorise vs poids reel de la marchandise</t>
  </si>
  <si>
    <t>Surcharge / refus d'embarquement</t>
  </si>
  <si>
    <t>Comparer poids total vs limites du conteneur/vol</t>
  </si>
  <si>
    <t>Packing list + booking</t>
  </si>
  <si>
    <t>Poids dans les limites autorisees</t>
  </si>
  <si>
    <t>TRA-005</t>
  </si>
  <si>
    <t>Confirmer le lieu exact d'enlevement chez le fournisseur</t>
  </si>
  <si>
    <t>Retard ou erreur d'enlevement</t>
  </si>
  <si>
    <t>Obtenir adresse precise et contact sur place</t>
  </si>
  <si>
    <t>Adresse confirmee</t>
  </si>
  <si>
    <t>Adresse exacte et contact valide</t>
  </si>
  <si>
    <t>TRA-006</t>
  </si>
  <si>
    <t>Confirmer le port/aeroport de depart</t>
  </si>
  <si>
    <t>Incoherence avec Incoterm ou devis</t>
  </si>
  <si>
    <t>Confirmer avec transitaire et fournisseur</t>
  </si>
  <si>
    <t>Port de depart coherent avec le devis</t>
  </si>
  <si>
    <t>TRA-007</t>
  </si>
  <si>
    <t>Confirmer le port/aeroport d'arrivee au Maroc</t>
  </si>
  <si>
    <t>Erreur de destination / cout supplementaire</t>
  </si>
  <si>
    <t>Confirmer avec le client et le transitaire</t>
  </si>
  <si>
    <t>Port d'arrivee conforme a la demande client</t>
  </si>
  <si>
    <t>TRA-008</t>
  </si>
  <si>
    <t>Verifier si transbordement prevu</t>
  </si>
  <si>
    <t>Delai allonge ou risque de perte au transbordement</t>
  </si>
  <si>
    <t>Demander itineraire detaille</t>
  </si>
  <si>
    <t>Booking / tracking</t>
  </si>
  <si>
    <t>Transbordement identifie et delai integre</t>
  </si>
  <si>
    <t>TRA-009</t>
  </si>
  <si>
    <t>Confirmer la compagnie de transport et le transitaire</t>
  </si>
  <si>
    <t>Prestataire non fiable</t>
  </si>
  <si>
    <t>Valider choix du transitaire selon politique ULTEX</t>
  </si>
  <si>
    <t>Confirmation de booking</t>
  </si>
  <si>
    <t>Prestataire valide et fiable</t>
  </si>
  <si>
    <t>TRA-010</t>
  </si>
  <si>
    <t>Obtenir le numero de booking et le cut-off</t>
  </si>
  <si>
    <t>Marchandise ratant le depart prevu</t>
  </si>
  <si>
    <t>Obtenir booking confirme avec date de cut-off</t>
  </si>
  <si>
    <t>Cut-off communique a temps a Yasser</t>
  </si>
  <si>
    <t>TRA-011</t>
  </si>
  <si>
    <t>Suivre l'ETD (date de depart estimee)</t>
  </si>
  <si>
    <t>Deviation non anticipee sur planning client</t>
  </si>
  <si>
    <t>Suivre confirmation ETD aupres du transitaire</t>
  </si>
  <si>
    <t>ETD confirmee et suivie</t>
  </si>
  <si>
    <t>TRA-012</t>
  </si>
  <si>
    <t>Suivre l'ETA (date d'arrivee estimee)</t>
  </si>
  <si>
    <t>Preparation douaniere non synchronisee</t>
  </si>
  <si>
    <t>Suivre ETA aupres du transitaire</t>
  </si>
  <si>
    <t>Tracking transporteur</t>
  </si>
  <si>
    <t>ETA suivie et mise a jour reguliere</t>
  </si>
  <si>
    <t>TRA-013</t>
  </si>
  <si>
    <t>Souscrire une assurance transport</t>
  </si>
  <si>
    <t>Selon Incoterm et valeur</t>
  </si>
  <si>
    <t>Perte totale non couverte en cas de sinistre</t>
  </si>
  <si>
    <t>Verifier qui souscrit l'assurance selon Incoterm, souscrire si ULTEX/client</t>
  </si>
  <si>
    <t>Police d'assurance</t>
  </si>
  <si>
    <t>Assurance en place avant depart</t>
  </si>
  <si>
    <t>TRA-014</t>
  </si>
  <si>
    <t>Verifier si marchandise dangereuse (batterie, liquide, chimique, ADR)</t>
  </si>
  <si>
    <t>Refus de transport / incident</t>
  </si>
  <si>
    <t>Confirmer classification et documents ADR/IMDG</t>
  </si>
  <si>
    <t>Certificat ADR/IMDG</t>
  </si>
  <si>
    <t>Documents conformes obtenus avant embarquement</t>
  </si>
  <si>
    <t>TRA-015</t>
  </si>
  <si>
    <t>Verifier le besoin de temperature controlee</t>
  </si>
  <si>
    <t>Si produit sensible a la temperature</t>
  </si>
  <si>
    <t>Deterioration du produit en transit</t>
  </si>
  <si>
    <t>Confirmer conteneur reefer si necessaire</t>
  </si>
  <si>
    <t>Booking reefer</t>
  </si>
  <si>
    <t>Temperature controlee confirmee</t>
  </si>
  <si>
    <t>TRA-016</t>
  </si>
  <si>
    <t>Obtenir photos de l'empotage et des scelles</t>
  </si>
  <si>
    <t>Litige sur l'etat de chargement</t>
  </si>
  <si>
    <t>Demander photos datees de l'empotage et numero de scelle</t>
  </si>
  <si>
    <t>Photos + numero de scelle</t>
  </si>
  <si>
    <t>Photos recues et scelle enregistre</t>
  </si>
  <si>
    <t>TRA-017</t>
  </si>
  <si>
    <t>Anticiper la franchise, les surestaries et le magasinage</t>
  </si>
  <si>
    <t>Surcout impreve lie aux retards</t>
  </si>
  <si>
    <t>Verifier delais de franchise du port/transporteur</t>
  </si>
  <si>
    <t>Conditions transporteur</t>
  </si>
  <si>
    <t>Delais connus et integres au planning</t>
  </si>
  <si>
    <t>TRA-018</t>
  </si>
  <si>
    <t>Suivre le tracking pendant tout le transit</t>
  </si>
  <si>
    <t>Retard non detecte a temps</t>
  </si>
  <si>
    <t>Suivre le tracking transporteur regulierement</t>
  </si>
  <si>
    <t>Captures de tracking</t>
  </si>
  <si>
    <t>Suivi documente jusqu'a l'arrivee</t>
  </si>
  <si>
    <t>P6</t>
  </si>
  <si>
    <t>DOC-001</t>
  </si>
  <si>
    <t>Documents d'expedition</t>
  </si>
  <si>
    <t>Obtenir la facture commerciale finale</t>
  </si>
  <si>
    <t>Absence de base de dedouanement</t>
  </si>
  <si>
    <t>Demander facture commerciale finale signee</t>
  </si>
  <si>
    <t>Facture commerciale</t>
  </si>
  <si>
    <t>Facture complete et coherente avec la commande</t>
  </si>
  <si>
    <t>DOC-002</t>
  </si>
  <si>
    <t>Obtenir la packing list detaillee</t>
  </si>
  <si>
    <t>Impossibilite de verifier le contenu des colis</t>
  </si>
  <si>
    <t>Demander packing list detaillee par colis</t>
  </si>
  <si>
    <t>Coherente avec la facture et le produit</t>
  </si>
  <si>
    <t>DOC-003</t>
  </si>
  <si>
    <t>Obtenir le BL / AWB / CMR selon mode de transport</t>
  </si>
  <si>
    <t>Absence de titre de transport pour retirer la marchandise</t>
  </si>
  <si>
    <t>Obtenir le titre de transport aupres du transporteur</t>
  </si>
  <si>
    <t>BL / AWB / CMR original ou telex release</t>
  </si>
  <si>
    <t>Document conforme et coherent avec la commande</t>
  </si>
  <si>
    <t>DOC-004</t>
  </si>
  <si>
    <t>Obtenir le certificat d'origine</t>
  </si>
  <si>
    <t>Selon exigence reglementaire ou tarifaire preferentielle</t>
  </si>
  <si>
    <t>Perte d'avantage tarifaire ou blocage</t>
  </si>
  <si>
    <t>Demander certificat d'origine aupres de la chambre de commerce</t>
  </si>
  <si>
    <t>Certificat d'origine</t>
  </si>
  <si>
    <t>Certificat conforme et authentique</t>
  </si>
  <si>
    <t>DOC-005</t>
  </si>
  <si>
    <t>Obtenir le certificat de conformite (COC) si requis</t>
  </si>
  <si>
    <t>Selon produit (cf REG-002)</t>
  </si>
  <si>
    <t>Obtenir COC avant expedition</t>
  </si>
  <si>
    <t>COC</t>
  </si>
  <si>
    <t>COC obtenu avant embarquement</t>
  </si>
  <si>
    <t>DOC-006</t>
  </si>
  <si>
    <t>Obtenir le certificat d'analyse si requis</t>
  </si>
  <si>
    <t>Selon produit (chimique, alimentaire...)</t>
  </si>
  <si>
    <t>Blocage a l'importation ou risque sanitaire</t>
  </si>
  <si>
    <t>Demander certificat d'analyse laboratoire</t>
  </si>
  <si>
    <t>Certificat d'analyse</t>
  </si>
  <si>
    <t>Resultats conformes aux normes</t>
  </si>
  <si>
    <t>DOC-007</t>
  </si>
  <si>
    <t>Obtenir le certificat sanitaire si requis</t>
  </si>
  <si>
    <t>Si produit alimentaire/animal</t>
  </si>
  <si>
    <t>Refoulement a la frontiere</t>
  </si>
  <si>
    <t>Demander certificat sanitaire officiel du pays d'origine</t>
  </si>
  <si>
    <t>Certificat sanitaire</t>
  </si>
  <si>
    <t>Certificat authentique et a jour</t>
  </si>
  <si>
    <t>DOC-008</t>
  </si>
  <si>
    <t>Obtenir le certificat phytosanitaire si requis</t>
  </si>
  <si>
    <t>Destruction de la marchandise</t>
  </si>
  <si>
    <t>Demander certificat phytosanitaire officiel</t>
  </si>
  <si>
    <t>DOC-009</t>
  </si>
  <si>
    <t>Obtenir le rapport d'inspection avant expedition</t>
  </si>
  <si>
    <t>Si inspection mandatee (cf QUA-012)</t>
  </si>
  <si>
    <t>Absence de preuve qualite pour litige eventuel</t>
  </si>
  <si>
    <t>Joindre le rapport final d'inspection au dossier</t>
  </si>
  <si>
    <t>Rapport d'inspection</t>
  </si>
  <si>
    <t>Rapport favorable archive</t>
  </si>
  <si>
    <t>DOC-010</t>
  </si>
  <si>
    <t>Incoherence de valeur non detectable</t>
  </si>
  <si>
    <t>Demander copie de la declaration douaniere d'export</t>
  </si>
  <si>
    <t>Valeur coherente avec la facture</t>
  </si>
  <si>
    <t>DOC-011</t>
  </si>
  <si>
    <t>Obtenir le document d'assurance transport</t>
  </si>
  <si>
    <t>Si assurance souscrite</t>
  </si>
  <si>
    <t>Absence de preuve de couverture en cas de sinistre</t>
  </si>
  <si>
    <t>Archiver la police / attestation d'assurance</t>
  </si>
  <si>
    <t>Couverture confirmee pour la valeur totale</t>
  </si>
  <si>
    <t>DOC-012</t>
  </si>
  <si>
    <t>Verifier la cohererence des noms entre tous les documents</t>
  </si>
  <si>
    <t>Rejet douanier pour incoherence documentaire</t>
  </si>
  <si>
    <t>Comparer noms fournisseur/client sur facture, BL, certificats</t>
  </si>
  <si>
    <t>Ensemble des documents</t>
  </si>
  <si>
    <t>Noms strictement identiques ou variations justifiees</t>
  </si>
  <si>
    <t>DOC-013</t>
  </si>
  <si>
    <t>Verifier la coherence des quantites, poids et valeurs entre documents</t>
  </si>
  <si>
    <t>Rejet douanier / redressement</t>
  </si>
  <si>
    <t>Comparer facture, packing list et BL/AWB</t>
  </si>
  <si>
    <t>Chiffres identiques sur tous les documents</t>
  </si>
  <si>
    <t>DOC-014</t>
  </si>
  <si>
    <t>Valider un brouillon documentaire avant emission des originaux</t>
  </si>
  <si>
    <t>Erreur irreversible sur documents originaux (BL notamment)</t>
  </si>
  <si>
    <t>Faire valider un draft BL/facture avant emission finale</t>
  </si>
  <si>
    <t>Draft documents</t>
  </si>
  <si>
    <t>Draft valide par Imane et Oumaima avant original</t>
  </si>
  <si>
    <t>PRE-001</t>
  </si>
  <si>
    <t>Preparation avant arrivee</t>
  </si>
  <si>
    <t>Verifier reception du dossier documentaire complet</t>
  </si>
  <si>
    <t>Impossibilite de preparer la declaration douaniere</t>
  </si>
  <si>
    <t>Reunir tous les documents avant ETA</t>
  </si>
  <si>
    <t>Dossier documentaire complet</t>
  </si>
  <si>
    <t>Tous documents requis presents</t>
  </si>
  <si>
    <t>PRE-002</t>
  </si>
  <si>
    <t>Verifier reception des documents originaux si requis</t>
  </si>
  <si>
    <t>Selon mode de transport et Incoterm</t>
  </si>
  <si>
    <t>Impossibilite de retirer la marchandise au port</t>
  </si>
  <si>
    <t>Suivre l'envoi des originaux (DHL/courrier bancaire)</t>
  </si>
  <si>
    <t>Documents originaux ou telex release</t>
  </si>
  <si>
    <t>Originaux recus ou telex confirme avant ETA</t>
  </si>
  <si>
    <t>PRE-003</t>
  </si>
  <si>
    <t>Finaliser la domiciliation bancaire</t>
  </si>
  <si>
    <t>Blocage de la declaration en douane</t>
  </si>
  <si>
    <t>Verifier cloture de la domiciliation aupres de la banque</t>
  </si>
  <si>
    <t>Attestation de domiciliation finalisee</t>
  </si>
  <si>
    <t>Domiciliation active et complete</t>
  </si>
  <si>
    <t>PRE-004</t>
  </si>
  <si>
    <t>Finaliser l'engagement d'importation</t>
  </si>
  <si>
    <t>Selon reglementation</t>
  </si>
  <si>
    <t>Blocage douanier</t>
  </si>
  <si>
    <t>Verifier validation de l'engagement sur PortNet</t>
  </si>
  <si>
    <t>Statut valide sur PortNet</t>
  </si>
  <si>
    <t>PRE-005</t>
  </si>
  <si>
    <t>Verifier le depot du manifeste sur PortNet</t>
  </si>
  <si>
    <t>Retard de traitement douanier</t>
  </si>
  <si>
    <t>Suivre le depot du manifeste par le transporteur/agent</t>
  </si>
  <si>
    <t>Manifeste PortNet</t>
  </si>
  <si>
    <t>Manifeste depose et coherent avec les documents</t>
  </si>
  <si>
    <t>PRE-006</t>
  </si>
  <si>
    <t>Verifier reception du preavis d'arrivee</t>
  </si>
  <si>
    <t>Absence d'anticipation operationnelle</t>
  </si>
  <si>
    <t>Suivre aupres du transitaire/agent maritime</t>
  </si>
  <si>
    <t>Preavis d'arrivee (arrival notice)</t>
  </si>
  <si>
    <t>Preavis recu avec ETA confirmee</t>
  </si>
  <si>
    <t>PRE-007</t>
  </si>
  <si>
    <t>Transmettre le dossier complet au declarant</t>
  </si>
  <si>
    <t>Retard de declaration en douane</t>
  </si>
  <si>
    <t>Remettre tous documents et informations au declarant</t>
  </si>
  <si>
    <t>Accuse de reception du declarant</t>
  </si>
  <si>
    <t>Dossier remis avant ETA</t>
  </si>
  <si>
    <t>PRE-008</t>
  </si>
  <si>
    <t>Reconfirmer la position SH avant declaration</t>
  </si>
  <si>
    <t>Erreur de declaration difficile a corriger ensuite</t>
  </si>
  <si>
    <t>Revalider avec le declarant la position SH retenue (bloc 7)</t>
  </si>
  <si>
    <t>Note de confirmation du declarant</t>
  </si>
  <si>
    <t>Position confirmee par le declarant</t>
  </si>
  <si>
    <t>PRE-009</t>
  </si>
  <si>
    <t>Reconfirmer la valeur en douane avant declaration</t>
  </si>
  <si>
    <t>Valeur declaree non alignee avec l'analyse (bloc 8)</t>
  </si>
  <si>
    <t>Revalider la valeur avec le declarant</t>
  </si>
  <si>
    <t>Valeur confirmee et coherente</t>
  </si>
  <si>
    <t>PRE-010</t>
  </si>
  <si>
    <t>Verifier disponibilite de toutes les autorisations reglementaires</t>
  </si>
  <si>
    <t>Blocage a l'arrivee faute d'autorisation</t>
  </si>
  <si>
    <t>Verifier statut de chaque autorisation du bloc 9</t>
  </si>
  <si>
    <t>Autorisations reglementaires</t>
  </si>
  <si>
    <t>Toutes les autorisations requises sont disponibles</t>
  </si>
  <si>
    <t>PRE-011</t>
  </si>
  <si>
    <t>Provisionner le budget douanier (droits, taxes, reserve)</t>
  </si>
  <si>
    <t>Incapacite financiere a dedouaner a temps</t>
  </si>
  <si>
    <t>Consolider budget final valide (VAL-014)</t>
  </si>
  <si>
    <t>Budget disponible et valide</t>
  </si>
  <si>
    <t>PRE-012</t>
  </si>
  <si>
    <t>Provisionner le budget de magasinage estime</t>
  </si>
  <si>
    <t>Surcout non anticipe</t>
  </si>
  <si>
    <t>Estimer cout de magasinage selon delai prevu</t>
  </si>
  <si>
    <t>Note de calcul</t>
  </si>
  <si>
    <t>Budget magasinage estime et communique</t>
  </si>
  <si>
    <t>PRE-013</t>
  </si>
  <si>
    <t>Preparer un plan d'action en cas de controle/visite douaniere</t>
  </si>
  <si>
    <t>Si risque identifie eleve</t>
  </si>
  <si>
    <t>Reaction tardive en cas de blocage</t>
  </si>
  <si>
    <t>Preparer argumentaire et documents de reserve</t>
  </si>
  <si>
    <t>Note de plan d'action</t>
  </si>
  <si>
    <t>Plan valide par Oumaima</t>
  </si>
  <si>
    <t>DED-001</t>
  </si>
  <si>
    <t>10. Dedouanement</t>
  </si>
  <si>
    <t>Dedouanement</t>
  </si>
  <si>
    <t>Deposer la declaration en douane (DUM)</t>
  </si>
  <si>
    <t>Retard de mainlevee</t>
  </si>
  <si>
    <t>Deposer la declaration des reception des documents originaux</t>
  </si>
  <si>
    <t>Declaration deposee (DUM)</t>
  </si>
  <si>
    <t>Depot confirme sur systeme douanier</t>
  </si>
  <si>
    <t>DED-002</t>
  </si>
  <si>
    <t>Identifier le circuit de controle attribue (vert/orange/rouge)</t>
  </si>
  <si>
    <t>Anticipation impossible du delai reel</t>
  </si>
  <si>
    <t>Suivre le circuit attribue par le systeme douanier</t>
  </si>
  <si>
    <t>Capture du circuit attribue</t>
  </si>
  <si>
    <t>Circuit identifie et communique a Oumaima</t>
  </si>
  <si>
    <t>DED-003</t>
  </si>
  <si>
    <t>Gerer le controle documentaire si circuit orange</t>
  </si>
  <si>
    <t>Si circuit orange/rouge</t>
  </si>
  <si>
    <t>Retard ou blocage de mainlevee</t>
  </si>
  <si>
    <t>Fournir tout document complementaire demande sans delai</t>
  </si>
  <si>
    <t>Documents complementaires fournis</t>
  </si>
  <si>
    <t>Controle documentaire leve</t>
  </si>
  <si>
    <t>DED-004</t>
  </si>
  <si>
    <t>Gerer la visite physique si circuit rouge</t>
  </si>
  <si>
    <t>Si circuit rouge</t>
  </si>
  <si>
    <t>Blocage prolonge / decouverte de non-conformite</t>
  </si>
  <si>
    <t>Preparer la marchandise et accompagner la visite</t>
  </si>
  <si>
    <t>Rapport de visite physique</t>
  </si>
  <si>
    <t>Visite realisee sans anomalie bloquante</t>
  </si>
  <si>
    <t>DED-005</t>
  </si>
  <si>
    <t>Gerer un prelevement pour analyse laboratoire si exige</t>
  </si>
  <si>
    <t>Si produit concerne</t>
  </si>
  <si>
    <t>Blocage prolonge dans l'attente des resultats</t>
  </si>
  <si>
    <t>Suivre le prelevement et les delais de laboratoire</t>
  </si>
  <si>
    <t>Rapport de laboratoire</t>
  </si>
  <si>
    <t>Resultats conformes recus</t>
  </si>
  <si>
    <t>DED-006</t>
  </si>
  <si>
    <t>Gerer un controle de conformite au point d'entree</t>
  </si>
  <si>
    <t>Refoulement de la marchandise</t>
  </si>
  <si>
    <t>Accompagner le controle avec tous les certificats disponibles</t>
  </si>
  <si>
    <t>Proces-verbal de controle</t>
  </si>
  <si>
    <t>Conformite validee par l'organisme</t>
  </si>
  <si>
    <t>DED-007</t>
  </si>
  <si>
    <t>Suivre l'acceptation ou la contestation de la valeur declaree</t>
  </si>
  <si>
    <t>Redressement financier impreve</t>
  </si>
  <si>
    <t>Suivre la position de l'administration sur la valeur</t>
  </si>
  <si>
    <t>Notification de l'administration</t>
  </si>
  <si>
    <t>Valeur acceptee ou redressement budgete (cf VAL-013)</t>
  </si>
  <si>
    <t>DED-008</t>
  </si>
  <si>
    <t>Gerer un eventuel reclassement tarifaire par la douane</t>
  </si>
  <si>
    <t>Si conteste</t>
  </si>
  <si>
    <t>Droits et taxes revus a la hausse</t>
  </si>
  <si>
    <t>Preparer argumentaire technique avec le declarant</t>
  </si>
  <si>
    <t>Note de reponse du declarant</t>
  </si>
  <si>
    <t>Reclassement accepte ou conteste avec dossier solide</t>
  </si>
  <si>
    <t>DED-009</t>
  </si>
  <si>
    <t>Regler les droits et taxes dus</t>
  </si>
  <si>
    <t>Blocage de la mainlevee faute de paiement</t>
  </si>
  <si>
    <t>Effectuer le paiement des droits et taxes</t>
  </si>
  <si>
    <t>Quittance de paiement douanier</t>
  </si>
  <si>
    <t>Paiement effectue et quittance archivee</t>
  </si>
  <si>
    <t>DED-010</t>
  </si>
  <si>
    <t>Obtenir la mainlevee de la marchandise</t>
  </si>
  <si>
    <t>Marchandise bloquee au port</t>
  </si>
  <si>
    <t>Suivre la delivrance du bon a enlever</t>
  </si>
  <si>
    <t>Bon a enlever (mainlevee)</t>
  </si>
  <si>
    <t>Mainlevee obtenue</t>
  </si>
  <si>
    <t>P7</t>
  </si>
  <si>
    <t>DED-011</t>
  </si>
  <si>
    <t>Gerer un eventuel contentieux douanier</t>
  </si>
  <si>
    <t>Si litige survient</t>
  </si>
  <si>
    <t>Blocage prolonge / sanction financiere</t>
  </si>
  <si>
    <t>Engager la procedure de contestation avec le declarant</t>
  </si>
  <si>
    <t>Dossier de contentieux</t>
  </si>
  <si>
    <t>Decision finale obtenue et documentee</t>
  </si>
  <si>
    <t>DED-012</t>
  </si>
  <si>
    <t>Informer le client de tout retard ou incident de dedouanement</t>
  </si>
  <si>
    <t>Si incident</t>
  </si>
  <si>
    <t>Perte de confiance client / reclamation</t>
  </si>
  <si>
    <t>Communiquer proactivement avec le client sur les delais</t>
  </si>
  <si>
    <t>Email / compte-rendu client</t>
  </si>
  <si>
    <t>Client informe en temps utile</t>
  </si>
  <si>
    <t>FIN-001</t>
  </si>
  <si>
    <t>Risque client et finances ULTEX</t>
  </si>
  <si>
    <t>Confirmer le montant total recu ou du par le client</t>
  </si>
  <si>
    <t>Financement du dossier non securise</t>
  </si>
  <si>
    <t>Verifier montant contractuel avec le client</t>
  </si>
  <si>
    <t>Contrat client / facture</t>
  </si>
  <si>
    <t>Montant confirme et coherent</t>
  </si>
  <si>
    <t>FIN-002</t>
  </si>
  <si>
    <t>Suivre le montant paye au fournisseur (avance)</t>
  </si>
  <si>
    <t>Ecart entre engagement et paiement reel</t>
  </si>
  <si>
    <t>Rapprocher montant paye vs pro forma</t>
  </si>
  <si>
    <t>Montant conforme a l'accord</t>
  </si>
  <si>
    <t>FIN-003</t>
  </si>
  <si>
    <t>Suivre le reliquat du au fournisseur</t>
  </si>
  <si>
    <t>Sous-estimation du reste a payer</t>
  </si>
  <si>
    <t>Calculer et suivre le solde restant du</t>
  </si>
  <si>
    <t>Tableau de suivi financier</t>
  </si>
  <si>
    <t>Solde exact et a jour</t>
  </si>
  <si>
    <t>FIN-004</t>
  </si>
  <si>
    <t>Calculer le montant a avancer par ULTEX si applicable</t>
  </si>
  <si>
    <t>Selon montage financier du dossier</t>
  </si>
  <si>
    <t>Exposition financiere non anticipee</t>
  </si>
  <si>
    <t>Determiner la part financee par ULTEX avant paiement client complet</t>
  </si>
  <si>
    <t>Note financiere</t>
  </si>
  <si>
    <t>Montant calcule et valide par Oumaima</t>
  </si>
  <si>
    <t>FIN-005</t>
  </si>
  <si>
    <t>Estimer le cout douanier total (droits, taxes, reserve)</t>
  </si>
  <si>
    <t>Sous-provisionnement bloquant au dedouanement</t>
  </si>
  <si>
    <t>Consolider avec bloc 8 (VAL-013/014)</t>
  </si>
  <si>
    <t>Estimation validee avant ETA</t>
  </si>
  <si>
    <t>FIN-006</t>
  </si>
  <si>
    <t>Estimer le cout de transport total</t>
  </si>
  <si>
    <t>Depassement budgetaire transport</t>
  </si>
  <si>
    <t>Comparer devis transport vs facture finale</t>
  </si>
  <si>
    <t>Facture transport</t>
  </si>
  <si>
    <t>Cout conforme au devis ou ecart justifie</t>
  </si>
  <si>
    <t>FIN-007</t>
  </si>
  <si>
    <t>Estimer le risque de magasinage et surestaries</t>
  </si>
  <si>
    <t>Surcout impreve en cas de retard</t>
  </si>
  <si>
    <t>Suivre delais de franchise (cf TRA-017)</t>
  </si>
  <si>
    <t>Risque estime et communique</t>
  </si>
  <si>
    <t>FIN-008</t>
  </si>
  <si>
    <t>Calculer la marge previsionnelle du dossier</t>
  </si>
  <si>
    <t>Dossier engage a perte sans le savoir</t>
  </si>
  <si>
    <t>Calculer marge = montant client - tous couts estimes</t>
  </si>
  <si>
    <t>Fiche de marge previsionnelle</t>
  </si>
  <si>
    <t>Marge positive ou risque accepte formellement</t>
  </si>
  <si>
    <t>FIN-009</t>
  </si>
  <si>
    <t>11. Livraison</t>
  </si>
  <si>
    <t>Calculer la marge reelle apres cloture</t>
  </si>
  <si>
    <t>Absence de controle de rentabilite reelle</t>
  </si>
  <si>
    <t>Comparer couts reels vs previsionnels</t>
  </si>
  <si>
    <t>Fiche de marge reelle</t>
  </si>
  <si>
    <t>Ecart explique si superieur a 10%</t>
  </si>
  <si>
    <t>P8</t>
  </si>
  <si>
    <t>FIN-010</t>
  </si>
  <si>
    <t>Definir les conditions a satisfaire avant tout paiement</t>
  </si>
  <si>
    <t>Paiement engage malgre risques non leves</t>
  </si>
  <si>
    <t>Lister les conditions bloquantes de paiement (cf portes de validation)</t>
  </si>
  <si>
    <t>Grille de conditions</t>
  </si>
  <si>
    <t>Conditions toutes remplies avant paiement</t>
  </si>
  <si>
    <t>FIN-011</t>
  </si>
  <si>
    <t>Definir les conditions a satisfaire avant dedouanement</t>
  </si>
  <si>
    <t>Dedouanement engage malgre risques non leves</t>
  </si>
  <si>
    <t>Lister conditions bloquantes de dedouanement</t>
  </si>
  <si>
    <t>Conditions toutes remplies avant depot declaration</t>
  </si>
  <si>
    <t>FIN-012</t>
  </si>
  <si>
    <t>Evaluer le risque d'abandon du dossier par le client</t>
  </si>
  <si>
    <t>Si retard ou risque eleve detecte</t>
  </si>
  <si>
    <t>Marchandise sans client a l'arrivee</t>
  </si>
  <si>
    <t>Communiquer proactivement avec le client sur les risques</t>
  </si>
  <si>
    <t>Compte-rendu client</t>
  </si>
  <si>
    <t>Client informe et engagement reconfirme</t>
  </si>
  <si>
    <t>FIN-013</t>
  </si>
  <si>
    <t>Verifier l'existence d'une garantie contractuelle ULTEX-client</t>
  </si>
  <si>
    <t>ULTEX supporte seul le risque financier</t>
  </si>
  <si>
    <t>Verifier clause de garantie / acompte non remboursable</t>
  </si>
  <si>
    <t>Contrat client</t>
  </si>
  <si>
    <t>Garantie en place ou risque accepte formellement</t>
  </si>
  <si>
    <t>LIV-001</t>
  </si>
  <si>
    <t>Livraison et cloture</t>
  </si>
  <si>
    <t>Organiser la sortie de marchandise du port/entrepot</t>
  </si>
  <si>
    <t>Retard de mise a disposition au client</t>
  </si>
  <si>
    <t>Coordonner avec le transitaire la sortie apres mainlevee</t>
  </si>
  <si>
    <t>Bon de sortie</t>
  </si>
  <si>
    <t>Sortie effectuee sans incident</t>
  </si>
  <si>
    <t>LIV-002</t>
  </si>
  <si>
    <t>Organiser le transport local jusqu'au client</t>
  </si>
  <si>
    <t>Retard ou incident sur le dernier kilometre</t>
  </si>
  <si>
    <t>Planifier transporteur local et itineraire</t>
  </si>
  <si>
    <t>Bon de transport local</t>
  </si>
  <si>
    <t>Transport realise dans les delais</t>
  </si>
  <si>
    <t>LIV-003</t>
  </si>
  <si>
    <t>Fixer un rendez-vous de livraison avec le client</t>
  </si>
  <si>
    <t>Livraison manquee ou refusee</t>
  </si>
  <si>
    <t>Confirmer date/heure/lieu avec le client</t>
  </si>
  <si>
    <t>Confirmation de rendez-vous</t>
  </si>
  <si>
    <t>Rendez-vous confirme par le client</t>
  </si>
  <si>
    <t>LIV-004</t>
  </si>
  <si>
    <t>Realiser un controle quantitatif a la livraison</t>
  </si>
  <si>
    <t>Manquant non detecte a temps</t>
  </si>
  <si>
    <t>Compter les colis/pieces livres vs commande</t>
  </si>
  <si>
    <t>Bon de livraison signe</t>
  </si>
  <si>
    <t>Quantite conforme ou reserve emise</t>
  </si>
  <si>
    <t>LIV-005</t>
  </si>
  <si>
    <t>Realiser un controle qualitatif a la livraison</t>
  </si>
  <si>
    <t>Non-conformite decouverte trop tard pour recours</t>
  </si>
  <si>
    <t>Verifier etat du produit a la reception</t>
  </si>
  <si>
    <t>Photos de reception + bon de livraison</t>
  </si>
  <si>
    <t>Qualite conforme ou reserve emise</t>
  </si>
  <si>
    <t>LIV-006</t>
  </si>
  <si>
    <t>Faire signer le bon de livraison par le client</t>
  </si>
  <si>
    <t>Absence de preuve de livraison</t>
  </si>
  <si>
    <t>Faire signer et dater le bon de livraison</t>
  </si>
  <si>
    <t>Signature et date presentes</t>
  </si>
  <si>
    <t>LIV-007</t>
  </si>
  <si>
    <t>Consigner toute reserve emise a la livraison</t>
  </si>
  <si>
    <t>Si anomalie constatee</t>
  </si>
  <si>
    <t>Reclamation client non tracee</t>
  </si>
  <si>
    <t>Noter les reserves precisement sur le bon de livraison</t>
  </si>
  <si>
    <t>Bon de livraison avec reserves</t>
  </si>
  <si>
    <t>Reserves documentees et transmises a Oumaima</t>
  </si>
  <si>
    <t>LIV-008</t>
  </si>
  <si>
    <t>Encaisser le reliquat client apres livraison</t>
  </si>
  <si>
    <t>Selon conditions de paiement client</t>
  </si>
  <si>
    <t>Perte financiere si non recouvre</t>
  </si>
  <si>
    <t>Suivre l'encaissement du solde client</t>
  </si>
  <si>
    <t>Preuve d'encaissement</t>
  </si>
  <si>
    <t>Solde encaisse dans le delai convenu</t>
  </si>
  <si>
    <t>LIV-009</t>
  </si>
  <si>
    <t>12. Cloture / REX</t>
  </si>
  <si>
    <t>Traiter toute reclamation ou litige post-livraison</t>
  </si>
  <si>
    <t>Si reclamation</t>
  </si>
  <si>
    <t>Perte financiere ou relationnelle non geree</t>
  </si>
  <si>
    <t>Ouvrir un dossier de traitement de reclamation</t>
  </si>
  <si>
    <t>Dossier de reclamation</t>
  </si>
  <si>
    <t>Reclamation traitee et cloturee</t>
  </si>
  <si>
    <t>LIV-010</t>
  </si>
  <si>
    <t>Cloturer financierement le dossier</t>
  </si>
  <si>
    <t>Dossier ouvert indefiniment / marge non verifiee</t>
  </si>
  <si>
    <t>Rapprocher tous les couts et encaissements</t>
  </si>
  <si>
    <t>Fiche de cloture financiere</t>
  </si>
  <si>
    <t>Cloture validee par Oumaima</t>
  </si>
  <si>
    <t>LIV-011</t>
  </si>
  <si>
    <t>Archiver l'integralite du dossier documentaire</t>
  </si>
  <si>
    <t>Preuve indisponible en cas de controle a posteriori</t>
  </si>
  <si>
    <t>Classer tous les documents dans le dossier numerique</t>
  </si>
  <si>
    <t>Dossier archive complet</t>
  </si>
  <si>
    <t>Archivage complet verifie par Imane</t>
  </si>
  <si>
    <t>LIV-012</t>
  </si>
  <si>
    <t>Formaliser le retour d'experience (lecons apprises)</t>
  </si>
  <si>
    <t>Repetition des memes erreurs sur futurs dossiers</t>
  </si>
  <si>
    <t>Rediger une fiche de retour d'experience</t>
  </si>
  <si>
    <t>Fiche REX</t>
  </si>
  <si>
    <t>Fiche REX validee et diffusee</t>
  </si>
  <si>
    <t>ALI-001</t>
  </si>
  <si>
    <t>18. Module produit specifique</t>
  </si>
  <si>
    <t>Module produit : Produits alimentaires</t>
  </si>
  <si>
    <t>Verifier l'autorisation ONSSA import alimentaire et la conformite etiquetage nutritionnel</t>
  </si>
  <si>
    <t>Uniquement si le produit releve de la famille 'Produits alimentaires'</t>
  </si>
  <si>
    <t>Non-conformite specifique a la famille Produits alimentaires</t>
  </si>
  <si>
    <t>Certificat ONSSA + etiquetage</t>
  </si>
  <si>
    <t>Certificat obtenu et etiquetage conforme (langue, DLC, allergenes)</t>
  </si>
  <si>
    <t>ALI-002</t>
  </si>
  <si>
    <t>Verifier la date limite de consommation / durabilite au regard du delai de transport</t>
  </si>
  <si>
    <t>DLC/DDM sur produit et packing list</t>
  </si>
  <si>
    <t>Delai restant a l'arrivee superieur au minimum reglementaire/commercial</t>
  </si>
  <si>
    <t>AGR-001</t>
  </si>
  <si>
    <t>Module produit : Produits agricoles</t>
  </si>
  <si>
    <t>Verifier le certificat phytosanitaire et l'absence d'organismes nuisibles</t>
  </si>
  <si>
    <t>Uniquement si le produit releve de la famille 'Produits agricoles'</t>
  </si>
  <si>
    <t>Non-conformite specifique a la famille Produits agricoles</t>
  </si>
  <si>
    <t>Certificat valide et sans reserve</t>
  </si>
  <si>
    <t>ANI-001</t>
  </si>
  <si>
    <t>Module produit : Produits d'origine animale</t>
  </si>
  <si>
    <t>Verifier l'autorisation veterinaire ONSSA et la tracabilite sanitaire</t>
  </si>
  <si>
    <t>Uniquement si le produit releve de la famille 'Produits d'origine animale'</t>
  </si>
  <si>
    <t>Non-conformite specifique a la famille Produits d'origine animale</t>
  </si>
  <si>
    <t>Certificat veterinaire</t>
  </si>
  <si>
    <t>MAC-001</t>
  </si>
  <si>
    <t>Module produit : Machines industrielles</t>
  </si>
  <si>
    <t>Verifier la fiche technique complete, le marquage CE/equivalent et le manuel d'installation</t>
  </si>
  <si>
    <t>Uniquement si le produit releve de la famille 'Machines industrielles'</t>
  </si>
  <si>
    <t>Non-conformite specifique a la famille Machines industrielles</t>
  </si>
  <si>
    <t>Fiche technique + manuel + marquage</t>
  </si>
  <si>
    <t>Marquage present et manuel en langue acceptee</t>
  </si>
  <si>
    <t>MAC-002</t>
  </si>
  <si>
    <t>Verifier les conditions de garantie et la disponibilite de pieces detachees</t>
  </si>
  <si>
    <t>Certificat de garantie + catalogue pieces</t>
  </si>
  <si>
    <t>Garantie et pieces confirmees par ecrit</t>
  </si>
  <si>
    <t>ELE-001</t>
  </si>
  <si>
    <t>Module produit : Equipements electriques</t>
  </si>
  <si>
    <t>Verifier la compatibilite voltage/frequence et les normes de securite electrique</t>
  </si>
  <si>
    <t>Uniquement si le produit releve de la famille 'Equipements electriques'</t>
  </si>
  <si>
    <t>Non-conformite specifique a la famille Equipements electriques</t>
  </si>
  <si>
    <t>Fiche technique electrique</t>
  </si>
  <si>
    <t>Compatible reseau marocain et normes respectees</t>
  </si>
  <si>
    <t>TEL-001</t>
  </si>
  <si>
    <t>Module produit : Equipements radio / telecom</t>
  </si>
  <si>
    <t>Verifier l'agrement ANRT obligatoire avant importation</t>
  </si>
  <si>
    <t>Uniquement si le produit releve de la famille 'Equipements radio / telecom'</t>
  </si>
  <si>
    <t>Non-conformite specifique a la famille Equipements radio / telecom</t>
  </si>
  <si>
    <t>Agrement ANRT</t>
  </si>
  <si>
    <t>Agrement obtenu avant expedition</t>
  </si>
  <si>
    <t>AUT-001</t>
  </si>
  <si>
    <t>Module produit : Pieces automobiles / motos</t>
  </si>
  <si>
    <t>Verifier la compatibilite avec les vehicules cibles et l'origine (contrefacon piece detachee)</t>
  </si>
  <si>
    <t>Uniquement si le produit releve de la famille 'Pieces automobiles / motos'</t>
  </si>
  <si>
    <t>Non-conformite specifique a la famille Pieces automobiles / motos</t>
  </si>
  <si>
    <t>Fiche de compatibilite + preuve d'origine</t>
  </si>
  <si>
    <t>Compatibilite confirmee, absence de contrefacon</t>
  </si>
  <si>
    <t>CHI-001</t>
  </si>
  <si>
    <t>Module produit : Produits chimiques / ADR</t>
  </si>
  <si>
    <t>Verifier la fiche de donnees de securite et le classement ADR/IMDG</t>
  </si>
  <si>
    <t>Uniquement si le produit releve de la famille 'Produits chimiques / ADR'</t>
  </si>
  <si>
    <t>Non-conformite specifique a la famille Produits chimiques / ADR</t>
  </si>
  <si>
    <t>FDS + classement ADR</t>
  </si>
  <si>
    <t>FDS a jour et classement confirme</t>
  </si>
  <si>
    <t>BAT-001</t>
  </si>
  <si>
    <t>Module produit : Batteries</t>
  </si>
  <si>
    <t>Verifier la classification UN38.3 et les documents de transport de matieres dangereuses</t>
  </si>
  <si>
    <t>Uniquement si le produit releve de la famille 'Batteries'</t>
  </si>
  <si>
    <t>Non-conformite specifique a la famille Batteries</t>
  </si>
  <si>
    <t>Rapport de test UN38.3 + documents ADR/IMDG</t>
  </si>
  <si>
    <t>Test valide et documents conformes</t>
  </si>
  <si>
    <t>COS-001</t>
  </si>
  <si>
    <t>Module produit : Cosmetiques</t>
  </si>
  <si>
    <t>Verifier la conformite reglementaire cosmetique (declaration, INCI, etiquetage)</t>
  </si>
  <si>
    <t>Uniquement si le produit releve de la famille 'Cosmetiques'</t>
  </si>
  <si>
    <t>Non-conformite specifique a la famille Cosmetiques</t>
  </si>
  <si>
    <t>Dossier cosmetique + fiche INCI</t>
  </si>
  <si>
    <t>Conformite confirmee par organisme competent</t>
  </si>
  <si>
    <t>MED-001</t>
  </si>
  <si>
    <t>Module produit : Dispositifs medicaux / medicaments</t>
  </si>
  <si>
    <t>Verifier l'enregistrement aupres de l'autorite competente (DMP / Ministere de la Sante)</t>
  </si>
  <si>
    <t>Uniquement si le produit releve de la famille 'Dispositifs medicaux / medicaments'</t>
  </si>
  <si>
    <t>Non-conformite specifique a la famille Dispositifs medicaux / medicaments</t>
  </si>
  <si>
    <t>Enregistrement officiel</t>
  </si>
  <si>
    <t>Enregistrement valide avant importation</t>
  </si>
  <si>
    <t>TEX-001</t>
  </si>
  <si>
    <t>Module produit : Textiles</t>
  </si>
  <si>
    <t>Verifier la composition declaree et l'etiquetage de composition obligatoire</t>
  </si>
  <si>
    <t>Uniquement si le produit releve de la famille 'Textiles'</t>
  </si>
  <si>
    <t>Non-conformite specifique a la famille Textiles</t>
  </si>
  <si>
    <t>Fiche composition + etiquetage</t>
  </si>
  <si>
    <t>Composition conforme et etiquetage present</t>
  </si>
  <si>
    <t>JOU-001</t>
  </si>
  <si>
    <t>Module produit : Jouets / produits pour enfants</t>
  </si>
  <si>
    <t>Verifier la conformite aux normes de securite jouets et l'absence de substances interdites</t>
  </si>
  <si>
    <t>Uniquement si le produit releve de la famille 'Jouets / produits pour enfants'</t>
  </si>
  <si>
    <t>Non-conformite specifique a la famille Jouets / produits pour enfants</t>
  </si>
  <si>
    <t>Certificat de securite jouet</t>
  </si>
  <si>
    <t>Certificat conforme et a jour</t>
  </si>
  <si>
    <t>MAR-001</t>
  </si>
  <si>
    <t>Module produit : Produits de marque / risque de contrefacon</t>
  </si>
  <si>
    <t>Verifier l'autorisation de distribution officielle de la marque</t>
  </si>
  <si>
    <t>Uniquement si le produit releve de la famille 'Produits de marque / risque de contrefacon'</t>
  </si>
  <si>
    <t>Non-conformite specifique a la famille Produits de marque / risque de contrefacon</t>
  </si>
  <si>
    <t>Attestation de distributeur officiel</t>
  </si>
  <si>
    <t>Autorisation valide et verifiable aupres du titulaire de marque</t>
  </si>
  <si>
    <t>BOI-001</t>
  </si>
  <si>
    <t>Module produit : Bois / emballages en bois</t>
  </si>
  <si>
    <t>Verifier le traitement et marquage NIMP15/ISPM15 du bois utilise</t>
  </si>
  <si>
    <t>Uniquement si le produit releve de la famille 'Bois / emballages en bois'</t>
  </si>
  <si>
    <t>Non-conformite specifique a la famille Bois / emballages en bois</t>
  </si>
  <si>
    <t>Marquage NIMP15 visible</t>
  </si>
  <si>
    <t>Marquage conforme (cf EMB-006)</t>
  </si>
  <si>
    <t>OCC-001</t>
  </si>
  <si>
    <t>Module produit : Produits d'occasion</t>
  </si>
  <si>
    <t>Verifier la reglementation d'importation des produits d'occasion et l'etat reel declare</t>
  </si>
  <si>
    <t>Uniquement si le produit releve de la famille 'Produits d'occasion'</t>
  </si>
  <si>
    <t>Non-conformite specifique a la famille Produits d'occasion</t>
  </si>
  <si>
    <t>Declaration d'etat + photos + autorisation si requise</t>
  </si>
  <si>
    <t>Statut d'occasion autorise et declare</t>
  </si>
  <si>
    <t>REC-001</t>
  </si>
  <si>
    <t>Module produit : Produits reconditionnes</t>
  </si>
  <si>
    <t>Verifier la declaration du caractere reconditionne et la garantie associee</t>
  </si>
  <si>
    <t>Uniquement si le produit releve de la famille 'Produits reconditionnes'</t>
  </si>
  <si>
    <t>Non-conformite specifique a la famille Produits reconditionnes</t>
  </si>
  <si>
    <t>Declaration ecrite + garantie</t>
  </si>
  <si>
    <t>Statut reconditionne declare et garanti</t>
  </si>
  <si>
    <t>CON-001</t>
  </si>
  <si>
    <t>Module produit : Materiaux de construction</t>
  </si>
  <si>
    <t>Verifier les normes techniques applicables (resistance, dimensions, certification)</t>
  </si>
  <si>
    <t>Uniquement si le produit releve de la famille 'Materiaux de construction'</t>
  </si>
  <si>
    <t>Non-conformite specifique a la famille Materiaux de construction</t>
  </si>
  <si>
    <t>Certificat de conformite technique</t>
  </si>
  <si>
    <t>Conformite aux normes marocaines confirmee</t>
  </si>
  <si>
    <t>INS-001</t>
  </si>
  <si>
    <t>Module produit : Equipements necessitant installation</t>
  </si>
  <si>
    <t>Verifier les prerequis d'installation et la disponibilite d'un technicien qualifie</t>
  </si>
  <si>
    <t>Uniquement si le produit releve de la famille 'Equipements necessitant installation'</t>
  </si>
  <si>
    <t>Non-conformite specifique a la famille Equipements necessitant installation</t>
  </si>
  <si>
    <t>Manuel d'installation + prerequis</t>
  </si>
  <si>
    <t>Prerequis identifies et installateur planifie</t>
  </si>
  <si>
    <t>LOU-001</t>
  </si>
  <si>
    <t>Module produit : Marchandises lourdes / hors gabarit</t>
  </si>
  <si>
    <t>Verifier les autorisations de transport exceptionnel et les moyens de manutention necessaires</t>
  </si>
  <si>
    <t>Uniquement si le produit releve de la famille 'Marchandises lourdes / hors gabarit'</t>
  </si>
  <si>
    <t>Non-conformite specifique a la famille Marchandises lourdes / hors gabarit</t>
  </si>
  <si>
    <t>Autorisation de transport exceptionnel</t>
  </si>
  <si>
    <t>Autorisation obtenue et manutention planifiee</t>
  </si>
  <si>
    <t>RIS-001</t>
  </si>
  <si>
    <t>2. Diagnostic Oumaima / a tout moment</t>
  </si>
  <si>
    <t>Risque specifique (ajout Oumaima)</t>
  </si>
  <si>
    <t>[Ligne libre] Risque ou controle special identifie par Oumaima lors du diagnostic</t>
  </si>
  <si>
    <t>A completer par Oumaima selon le dossier</t>
  </si>
  <si>
    <t>[A completer]</t>
  </si>
  <si>
    <t>[Action a definir par Oumaima / Yasser]</t>
  </si>
  <si>
    <t>[Preuve a definir]</t>
  </si>
  <si>
    <t>[Critere a definir]</t>
  </si>
  <si>
    <t>RIS-002</t>
  </si>
  <si>
    <t>RIS-003</t>
  </si>
  <si>
    <t>RIS-004</t>
  </si>
  <si>
    <t>RIS-005</t>
  </si>
  <si>
    <t>RIS-006</t>
  </si>
  <si>
    <t>RIS-007</t>
  </si>
  <si>
    <t>RIS-008</t>
  </si>
  <si>
    <t>RIS-009</t>
  </si>
  <si>
    <t>RIS-010</t>
  </si>
  <si>
    <t>RIS-011</t>
  </si>
  <si>
    <t>RIS-012</t>
  </si>
  <si>
    <t>RIS-013</t>
  </si>
  <si>
    <t>RIS-014</t>
  </si>
  <si>
    <t>RIS-015</t>
  </si>
  <si>
    <t>RIS-016</t>
  </si>
  <si>
    <t>RIS-017</t>
  </si>
  <si>
    <t>RIS-018</t>
  </si>
  <si>
    <t>RIS-019</t>
  </si>
  <si>
    <t>RIS-020</t>
  </si>
  <si>
    <t>FOR-001</t>
  </si>
  <si>
    <t>Point fort / garantie confirmee</t>
  </si>
  <si>
    <t>[Point fort a documenter] Fournisseur avec anciennete et references verifiees</t>
  </si>
  <si>
    <t>Si confirme lors du diagnostic ou des controles</t>
  </si>
  <si>
    <t>Aucun (element qui reduit le risque global du dossier)</t>
  </si>
  <si>
    <t>Archiver la preuve correspondante dans le dossier</t>
  </si>
  <si>
    <t>[Preuve correspondante]</t>
  </si>
  <si>
    <t>Element verifie et documente</t>
  </si>
  <si>
    <t>FOR-002</t>
  </si>
  <si>
    <t>[Point fort a documenter] Certifications entreprise valides et verifiees aupres de l'organisme emetteur</t>
  </si>
  <si>
    <t>FOR-003</t>
  </si>
  <si>
    <t>[Point fort a documenter] Fabricant identifie et visite/inspecte</t>
  </si>
  <si>
    <t>FOR-004</t>
  </si>
  <si>
    <t>[Point fort a documenter] Historique d'exportation solide et verifiable</t>
  </si>
  <si>
    <t>FOR-005</t>
  </si>
  <si>
    <t>[Point fort a documenter] Echantillon valide par le client avant commande</t>
  </si>
  <si>
    <t>FOR-006</t>
  </si>
  <si>
    <t>[Point fort a documenter] Contrat detaille avec clauses de garantie et penalites</t>
  </si>
  <si>
    <t>FOR-007</t>
  </si>
  <si>
    <t>[Point fort a documenter] Paiement securise par CAD ou lettre de credit</t>
  </si>
  <si>
    <t>FOR-008</t>
  </si>
  <si>
    <t>[Point fort a documenter] Certificat d'origine et documents reglementaires deja obtenus</t>
  </si>
  <si>
    <t>FOR-009</t>
  </si>
  <si>
    <t>[Point fort a documenter] Position SH confirmee par RTC ou avis ecrit du declarant</t>
  </si>
  <si>
    <t>FOR-010</t>
  </si>
  <si>
    <t>[Point fort a documenter] Assurance transport et/ou assurance-credit en place</t>
  </si>
  <si>
    <t>FOR-011</t>
  </si>
  <si>
    <t>[Point fort a documenter] Inspection avant expedition realisee avec rapport favorable</t>
  </si>
  <si>
    <t>FOR-012</t>
  </si>
  <si>
    <t>[Point fort a documenter] Garantie contractuelle ULTEX-client couvrant le risque financier</t>
  </si>
  <si>
    <t>9 PORTES DE VALIDATION - DECISION GO / GO SOUS CONDITIONS / STOP</t>
  </si>
  <si>
    <t>Porte</t>
  </si>
  <si>
    <t>Conditions obligatoires (rappel)</t>
  </si>
  <si>
    <t>Controles bloquants ouverts (ID)</t>
  </si>
  <si>
    <t>Risques encore ouverts</t>
  </si>
  <si>
    <t>Decision GO/STOP</t>
  </si>
  <si>
    <t>Validateur / Date</t>
  </si>
  <si>
    <t>Commentaire</t>
  </si>
  <si>
    <t>1. Autorisation de paiement de l'avance</t>
  </si>
  <si>
    <t>Fournisseur verifie (bloc FOU P0/P1 leves), RIB confirme, engagement d'importation en cours</t>
  </si>
  <si>
    <t>2. Autorisation de lancement de production</t>
  </si>
  <si>
    <t>Echantillon valide, contrat/pro forma coherents, autorisations reglementaires connues</t>
  </si>
  <si>
    <t>3. Autorisation de paiement du reliquat</t>
  </si>
  <si>
    <t>Inspection avant expedition favorable, emballage valide, non-conformites levees</t>
  </si>
  <si>
    <t>4. Autorisation d'expedition</t>
  </si>
  <si>
    <t>Documents d'expedition complets et coherents, autorisations obtenues, transport confirme</t>
  </si>
  <si>
    <t>5. Validation du dossier avant arrivee (ETA)</t>
  </si>
  <si>
    <t>Documents originaux/telex recus, domiciliation et engagement finalises, SH et valeur reconfirmes</t>
  </si>
  <si>
    <t>6. Validation du budget douanier</t>
  </si>
  <si>
    <t>Estimation haute calculee, reserve financiere disponible, elements de valeur ajoutes verifies</t>
  </si>
  <si>
    <t>7. Autorisation de dedouanement</t>
  </si>
  <si>
    <t>Dossier remis au declarant, toutes autorisations disponibles, budget provisionne</t>
  </si>
  <si>
    <t>8. Autorisation de livraison</t>
  </si>
  <si>
    <t>Mainlevee obtenue, controle qualite/quantite prevu, transport local organise</t>
  </si>
  <si>
    <t>9. Autorisation de cloture</t>
  </si>
  <si>
    <t>Reliquat encaisse, reserves levees, dossier archive, marge reelle calculee</t>
  </si>
  <si>
    <t>TABLEAU DE BORD DU DOSSIER (mise a jour automatique)</t>
  </si>
  <si>
    <t>Indicateur</t>
  </si>
  <si>
    <t>Commentaire / regle d'usage</t>
  </si>
  <si>
    <t>Nombre total de controles du modele</t>
  </si>
  <si>
    <t>Total fixe du modele maitre (ne change pas d'un dossier a l'autre)</t>
  </si>
  <si>
    <t>Controles Applicables a ce dossier</t>
  </si>
  <si>
    <t>Renseigne par Imane des l'ouverture du dossier</t>
  </si>
  <si>
    <t>Controles N/A pour ce dossier</t>
  </si>
  <si>
    <t>Controles non concernes par ce produit/dossier</t>
  </si>
  <si>
    <t>Controles valides (Imane ou definitif)</t>
  </si>
  <si>
    <t>Doit tendre vers le nombre de controles Applicables</t>
  </si>
  <si>
    <t>Controles en attente / demandes</t>
  </si>
  <si>
    <t>A relancer par Imane si delai depasse</t>
  </si>
  <si>
    <t>Controles non conformes</t>
  </si>
  <si>
    <t>Necessitent une correction fournisseur avant validation</t>
  </si>
  <si>
    <t>Controles bloques</t>
  </si>
  <si>
    <t>A remonter immediatement a Oumaima</t>
  </si>
  <si>
    <t>Controles P0 encore ouverts (non valides)</t>
  </si>
  <si>
    <t>INTERDICTION de payer/expedier tant que &gt; 0</t>
  </si>
  <si>
    <t>Controles P1 encore ouverts (non valides)</t>
  </si>
  <si>
    <t>A regler avant paiement de l'avance</t>
  </si>
  <si>
    <t>Validations Oumaima requises en attente</t>
  </si>
  <si>
    <t>A traiter en priorite par Oumaima</t>
  </si>
  <si>
    <t>Taux d'avancement global (%)</t>
  </si>
  <si>
    <t>Calcul indicatif : controles valides / controles applicables</t>
  </si>
  <si>
    <t>Niveau global de risque du dossier</t>
  </si>
  <si>
    <t>A renseigner : GO / GO SOUS CONDITIONS / STOP</t>
  </si>
  <si>
    <t>Se base sur le nombre de P0/P1 ouverts et les portes de validation</t>
  </si>
  <si>
    <t>RETOUR FINAL D'IMANE A OUMAIMA</t>
  </si>
  <si>
    <t>Reponse d'Imane</t>
  </si>
  <si>
    <t>Nombre total de controles</t>
  </si>
  <si>
    <t>Controles Applicables</t>
  </si>
  <si>
    <t>Controles valides</t>
  </si>
  <si>
    <t>Controles en attente</t>
  </si>
  <si>
    <t>Documents manquants</t>
  </si>
  <si>
    <t>Montant financier expose</t>
  </si>
  <si>
    <t>Reponse finale du fournisseur</t>
  </si>
  <si>
    <t>Avis d'Imane (pret / pret sous conditions / non pret)</t>
  </si>
  <si>
    <t>Decisions demandees a Oumaima</t>
  </si>
  <si>
    <t>Date limite de decision</t>
  </si>
  <si>
    <t>LEGENDE - STATUTS, PRIORITES ET COULEURS</t>
  </si>
  <si>
    <t>STATUTS AUTORISES</t>
  </si>
  <si>
    <t>Controle pas encore traite</t>
  </si>
  <si>
    <t>Applicable</t>
  </si>
  <si>
    <t>Controle concerne par ce dossier (colonne F)</t>
  </si>
  <si>
    <t>N/A</t>
  </si>
  <si>
    <t>Controle non concerne par ce dossier (colonne F)</t>
  </si>
  <si>
    <t>A demander</t>
  </si>
  <si>
    <t>Yasser doit envoyer la demande au fournisseur</t>
  </si>
  <si>
    <t>Demande</t>
  </si>
  <si>
    <t>Demande envoyee, en attente de reponse</t>
  </si>
  <si>
    <t>En attente</t>
  </si>
  <si>
    <t>Delai en cours, pas encore de reponse</t>
  </si>
  <si>
    <t>Recu a controler</t>
  </si>
  <si>
    <t>Document/reponse recu, Imane doit le verifier</t>
  </si>
  <si>
    <t>Non conforme</t>
  </si>
  <si>
    <t>Document/reponse ne satisfait pas le critere d'acceptation</t>
  </si>
  <si>
    <t>Correction demandee</t>
  </si>
  <si>
    <t>Yasser a demande une correction au fournisseur</t>
  </si>
  <si>
    <t>Bloque</t>
  </si>
  <si>
    <t>Le point bloque l'avancement du dossier</t>
  </si>
  <si>
    <t>Valide par Imane</t>
  </si>
  <si>
    <t>Preuve verifiee et jugee suffisante par Imane</t>
  </si>
  <si>
    <t>Validation Oumaima requise</t>
  </si>
  <si>
    <t>Point critique necessitant la decision d'Oumaima</t>
  </si>
  <si>
    <t>Valide definitivement</t>
  </si>
  <si>
    <t>Valide par Oumaima, point clos</t>
  </si>
  <si>
    <t>PRIORITES</t>
  </si>
  <si>
    <t>Blocage immediat - interdit de payer ou d'expedier</t>
  </si>
  <si>
    <t>A regler avant lancement de production</t>
  </si>
  <si>
    <t>A regler avant paiement du reliquat</t>
  </si>
  <si>
    <t>A regler avant expedition</t>
  </si>
  <si>
    <t>A regler avant arrivee au Maroc</t>
  </si>
  <si>
    <t>A suivre pendant le dedouanement</t>
  </si>
  <si>
    <t>A regler avant livraison</t>
  </si>
  <si>
    <t>A cloturer apres livraison</t>
  </si>
  <si>
    <t>CODE COULEUR (colonne Statut)</t>
  </si>
  <si>
    <t>Vert</t>
  </si>
  <si>
    <t>Valide par Imane / Valide definitivement</t>
  </si>
  <si>
    <t>Orange</t>
  </si>
  <si>
    <t>En attente / Demande / Recu a controler / Correction demandee</t>
  </si>
  <si>
    <t>Rouge</t>
  </si>
  <si>
    <t>Bloque / Non conforme</t>
  </si>
  <si>
    <t>Gris</t>
  </si>
  <si>
    <t>N/A - non applicable a ce dossier</t>
  </si>
  <si>
    <t>Jaune</t>
  </si>
  <si>
    <t>Validation Oumaima requise / champ a completer</t>
  </si>
  <si>
    <t>RECOMMANDATIONS POUR L'INTEGRATION FUTURE DANS UBOS</t>
  </si>
  <si>
    <t>1. STRUCTURE DE DONNEES</t>
  </si>
  <si>
    <t>Chaque ligne de '3_Checklist_Maitre' devient un enregistrement dans une table 'controles_limex' avec</t>
  </si>
  <si>
    <t>un ID permanent (FOU-001, PRD-014...) comme cle metier stable, independante du dossier. Creer une</t>
  </si>
  <si>
    <t>table 'dossiers' (Bloc 1) et une table de liaison 'dossier_controles' portant Applicable/N-A, Statut,</t>
  </si>
  <si>
    <t>Priorite, preuves, dates et validations - un enregistrement par (dossier x controle).</t>
  </si>
  <si>
    <t>2. DUPLICATION AUTOMATIQUE</t>
  </si>
  <si>
    <t>A la confirmation d'un nouveau dossier, UBOS doit generer automatiquement une ligne 'dossier_controles'</t>
  </si>
  <si>
    <t>pour chacun des ~280 controles du referentiel, avec statut initial 'Non commence' et Applicable/N-A</t>
  </si>
  <si>
    <t>a definir par Imane. Cela evite toute recreation manuelle de checklist et garantit l'exhaustivite.</t>
  </si>
  <si>
    <t>3. WORKFLOW ET DROITS</t>
  </si>
  <si>
    <t>Modeliser les 3 roles (Oumaima / Yasser / Imane) avec des droits distincts : Yasser peut modifier</t>
  </si>
  <si>
    <t>Statut et Commentaire, Imane peut modifier Controle Imane / Date controle et faire passer un statut a</t>
  </si>
  <si>
    <t>'Valide par Imane', seule Oumaima peut passer un statut a 'Valide definitivement' ou trancher une porte</t>
  </si>
  <si>
    <t>de validation en 'GO' quand des controles P0 restent ouverts.</t>
  </si>
  <si>
    <t>4. ALERTES AUTOMATIQUES</t>
  </si>
  <si>
    <t>Programmer des alertes automatiques : controle P0/P1 encore ouvert a J-3 d'une porte de validation,</t>
  </si>
  <si>
    <t>statut 'En attente' depuis plus de X jours, document a date de validite proche de l'expiration,</t>
  </si>
  <si>
    <t>ETA approchant sans dossier documentaire complet (cf Bloc 14).</t>
  </si>
  <si>
    <t>5. TABLEAU DE BORD MULTI-DOSSIERS</t>
  </si>
  <si>
    <t>Reprendre les indicateurs de l'onglet '5_Tableau_de_Bord' (controles ouverts, P0 ouverts, bloques,</t>
  </si>
  <si>
    <t>documents manquants) et les agreger par dossier, par client, par fournisseur et par periode pour</t>
  </si>
  <si>
    <t>un pilotage global du portefeuille LIMEX.</t>
  </si>
  <si>
    <t>6. HISTORIQUE ET STATISTIQUES</t>
  </si>
  <si>
    <t>Conserver l'historique de chaque changement de statut (qui, quand, preuve jointe) pour permettre,</t>
  </si>
  <si>
    <t>a terme, une notation de risque par fournisseur et par famille de produit basee sur les incidents</t>
  </si>
  <si>
    <t>reellement constates (non-conformites, blocages, redressements).</t>
  </si>
  <si>
    <t>7. EXPORT / IMPORT</t>
  </si>
  <si>
    <t>Ce classeur restera l'export de reference : chaque onglet peut etre exporte/importe en CSV pour</t>
  </si>
  <si>
    <t>alimenter ou resynchroniser UBOS sans perte de structure, dans l'attente de l'integration native.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</si>
</sst>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0.0%"/>
  </numFmts>
  <fonts count="27">
    <font>
      <sz val="11"/>
      <color theme="1"/>
      <name val="Calibri"/>
      <charset val="1"/>
    </font>
    <font>
      <b/>
      <sz val="16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EA9DB"/>
        <bgColor rgb="FF969696"/>
      </patternFill>
    </fill>
    <fill>
      <patternFill patternType="solid">
        <fgColor rgb="FFC6EFCE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D9D9D9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178" fontId="6" fillId="0" borderId="0" applyBorder="0" applyAlignment="0" applyProtection="0"/>
    <xf numFmtId="179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3" fillId="0" borderId="1" xfId="0" applyFont="1" applyBorder="1"/>
    <xf numFmtId="0" fontId="0" fillId="0" borderId="1" xfId="0" applyFont="1" applyBorder="1" applyAlignment="1">
      <alignment horizontal="left" vertical="top" wrapText="1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4" fillId="3" borderId="0" xfId="0" applyFont="1" applyFill="1"/>
    <xf numFmtId="0" fontId="3" fillId="0" borderId="1" xfId="0" applyFont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80" fontId="2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0" fillId="8" borderId="1" xfId="0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23">
    <dxf>
      <fill>
        <patternFill patternType="solid">
          <bgColor rgb="FFD9D9D9"/>
        </patternFill>
      </fill>
    </dxf>
    <dxf>
      <font>
        <name val="Arial"/>
        <scheme val="none"/>
        <charset val="1"/>
        <family val="0"/>
        <b val="1"/>
        <sz val="10"/>
        <color rgb="FF9C0006"/>
      </font>
      <fill>
        <patternFill patternType="solid">
          <bgColor rgb="FFF8CBAD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8EA9DB"/>
      <rgbColor rgb="00993366"/>
      <rgbColor rgb="00FFF2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CE4D6"/>
      <rgbColor rgb="0099CCFF"/>
      <rgbColor rgb="00FF99CC"/>
      <rgbColor rgb="00CC99FF"/>
      <rgbColor rgb="00F8CBAD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showGridLines="0" workbookViewId="0">
      <pane ySplit="2" topLeftCell="A12" activePane="bottomLeft" state="frozen"/>
      <selection/>
      <selection pane="bottomLeft" activeCell="A1" sqref="A1"/>
    </sheetView>
  </sheetViews>
  <sheetFormatPr defaultColWidth="8.67619047619048" defaultRowHeight="15"/>
  <cols>
    <col min="1" max="1" width="110" customWidth="1"/>
  </cols>
  <sheetData>
    <row r="1" ht="30" customHeight="1" spans="1:1">
      <c r="A1" s="1" t="s">
        <v>0</v>
      </c>
    </row>
    <row r="3" spans="1:1">
      <c r="A3" s="2"/>
    </row>
    <row r="4" spans="1:1">
      <c r="A4" s="3" t="s">
        <v>1</v>
      </c>
    </row>
    <row r="5" spans="1:1">
      <c r="A5" s="2" t="s">
        <v>2</v>
      </c>
    </row>
    <row r="6" spans="1:1">
      <c r="A6" s="2" t="s">
        <v>3</v>
      </c>
    </row>
    <row r="7" spans="1:1">
      <c r="A7" s="2" t="s">
        <v>4</v>
      </c>
    </row>
    <row r="8" spans="1:1">
      <c r="A8" s="2"/>
    </row>
    <row r="9" spans="1:1">
      <c r="A9" s="3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  <row r="30" spans="1:1">
      <c r="A30" s="2" t="s">
        <v>25</v>
      </c>
    </row>
    <row r="31" spans="1:1">
      <c r="A31" s="2" t="s">
        <v>26</v>
      </c>
    </row>
    <row r="32" spans="1:1">
      <c r="A32" s="2"/>
    </row>
    <row r="33" spans="1:1">
      <c r="A33" s="3" t="s">
        <v>27</v>
      </c>
    </row>
    <row r="34" spans="1:1">
      <c r="A34" s="2" t="s">
        <v>28</v>
      </c>
    </row>
    <row r="35" spans="1:1">
      <c r="A35" s="2" t="s">
        <v>29</v>
      </c>
    </row>
    <row r="36" spans="1:1">
      <c r="A36" s="2" t="s">
        <v>30</v>
      </c>
    </row>
    <row r="37" spans="1:1">
      <c r="A37" s="2" t="s">
        <v>31</v>
      </c>
    </row>
    <row r="38" spans="1:1">
      <c r="A38" s="2"/>
    </row>
    <row r="39" spans="1:1">
      <c r="A39" s="2" t="s">
        <v>32</v>
      </c>
    </row>
    <row r="40" spans="1:1">
      <c r="A40" s="2" t="s">
        <v>33</v>
      </c>
    </row>
    <row r="41" spans="1:1">
      <c r="A41" s="2" t="s">
        <v>34</v>
      </c>
    </row>
    <row r="42" spans="1:1">
      <c r="A42" s="2" t="s">
        <v>35</v>
      </c>
    </row>
    <row r="43" spans="1:1">
      <c r="A43" s="2" t="s">
        <v>36</v>
      </c>
    </row>
    <row r="44" spans="1:1">
      <c r="A44" s="2" t="s">
        <v>37</v>
      </c>
    </row>
    <row r="45" spans="1:1">
      <c r="A45" s="2"/>
    </row>
    <row r="46" spans="1:1">
      <c r="A46" s="3" t="s">
        <v>38</v>
      </c>
    </row>
    <row r="47" spans="1:1">
      <c r="A47" s="2" t="s">
        <v>39</v>
      </c>
    </row>
    <row r="48" spans="1:1">
      <c r="A48" s="2" t="s">
        <v>40</v>
      </c>
    </row>
    <row r="49" spans="1:1">
      <c r="A49" s="2" t="s">
        <v>41</v>
      </c>
    </row>
    <row r="50" spans="1:1">
      <c r="A50" s="2"/>
    </row>
    <row r="51" spans="1:1">
      <c r="A51" s="3" t="s">
        <v>42</v>
      </c>
    </row>
    <row r="52" spans="1:1">
      <c r="A52" s="2" t="s">
        <v>43</v>
      </c>
    </row>
    <row r="53" spans="1:1">
      <c r="A53" s="2" t="s">
        <v>44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tabSelected="1" workbookViewId="0">
      <pane ySplit="3" topLeftCell="A4" activePane="bottomLeft" state="frozen"/>
      <selection/>
      <selection pane="bottomLeft" activeCell="A1" sqref="A1:D1"/>
    </sheetView>
  </sheetViews>
  <sheetFormatPr defaultColWidth="8.67619047619048" defaultRowHeight="15" outlineLevelCol="3"/>
  <cols>
    <col min="1" max="1" width="32" customWidth="1"/>
    <col min="2" max="2" width="40" customWidth="1"/>
    <col min="3" max="3" width="32" customWidth="1"/>
    <col min="4" max="4" width="40" customWidth="1"/>
  </cols>
  <sheetData>
    <row r="1" ht="30" customHeight="1" spans="1:4">
      <c r="A1" s="4" t="s">
        <v>45</v>
      </c>
      <c r="B1" s="4"/>
      <c r="C1" s="4"/>
      <c r="D1" s="4"/>
    </row>
    <row r="3" spans="1:4">
      <c r="A3" s="13" t="s">
        <v>46</v>
      </c>
      <c r="B3" s="13" t="s">
        <v>47</v>
      </c>
      <c r="C3" s="13" t="s">
        <v>46</v>
      </c>
      <c r="D3" s="13" t="s">
        <v>47</v>
      </c>
    </row>
    <row r="4" spans="1:4">
      <c r="A4" s="6" t="s">
        <v>48</v>
      </c>
      <c r="B4" s="22"/>
      <c r="C4" s="6" t="s">
        <v>49</v>
      </c>
      <c r="D4" s="22"/>
    </row>
    <row r="5" spans="1:4">
      <c r="A5" s="6" t="s">
        <v>50</v>
      </c>
      <c r="B5" s="22"/>
      <c r="C5" s="6" t="s">
        <v>51</v>
      </c>
      <c r="D5" s="22"/>
    </row>
    <row r="6" spans="1:4">
      <c r="A6" s="6" t="s">
        <v>52</v>
      </c>
      <c r="B6" s="22"/>
      <c r="C6" s="6" t="s">
        <v>53</v>
      </c>
      <c r="D6" s="22"/>
    </row>
    <row r="7" spans="1:4">
      <c r="A7" s="6" t="s">
        <v>54</v>
      </c>
      <c r="B7" s="22"/>
      <c r="C7" s="6" t="s">
        <v>55</v>
      </c>
      <c r="D7" s="22"/>
    </row>
    <row r="8" spans="1:4">
      <c r="A8" s="6" t="s">
        <v>56</v>
      </c>
      <c r="B8" s="22"/>
      <c r="C8" s="6" t="s">
        <v>57</v>
      </c>
      <c r="D8" s="22"/>
    </row>
    <row r="9" spans="1:4">
      <c r="A9" s="6" t="s">
        <v>58</v>
      </c>
      <c r="B9" s="22"/>
      <c r="C9" s="6" t="s">
        <v>59</v>
      </c>
      <c r="D9" s="22"/>
    </row>
    <row r="10" spans="1:4">
      <c r="A10" s="6" t="s">
        <v>60</v>
      </c>
      <c r="B10" s="22"/>
      <c r="C10" s="6" t="s">
        <v>61</v>
      </c>
      <c r="D10" s="22"/>
    </row>
    <row r="11" spans="1:4">
      <c r="A11" s="6" t="s">
        <v>62</v>
      </c>
      <c r="B11" s="22"/>
      <c r="C11" s="6" t="s">
        <v>63</v>
      </c>
      <c r="D11" s="22"/>
    </row>
    <row r="12" spans="1:4">
      <c r="A12" s="6" t="s">
        <v>64</v>
      </c>
      <c r="B12" s="22"/>
      <c r="C12" s="6" t="s">
        <v>65</v>
      </c>
      <c r="D12" s="22"/>
    </row>
    <row r="13" spans="1:4">
      <c r="A13" s="6" t="s">
        <v>66</v>
      </c>
      <c r="B13" s="22"/>
      <c r="C13" s="6" t="s">
        <v>67</v>
      </c>
      <c r="D13" s="22"/>
    </row>
    <row r="14" spans="1:4">
      <c r="A14" s="6" t="s">
        <v>68</v>
      </c>
      <c r="B14" s="22"/>
      <c r="C14" s="6" t="s">
        <v>69</v>
      </c>
      <c r="D14" s="22"/>
    </row>
    <row r="15" spans="1:4">
      <c r="A15" s="6" t="s">
        <v>70</v>
      </c>
      <c r="B15" s="22"/>
      <c r="C15" s="6" t="s">
        <v>71</v>
      </c>
      <c r="D15" s="22"/>
    </row>
    <row r="16" spans="1:4">
      <c r="A16" s="6" t="s">
        <v>72</v>
      </c>
      <c r="B16" s="22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showGridLines="0" workbookViewId="0">
      <pane ySplit="3" topLeftCell="A4" activePane="bottomLeft" state="frozen"/>
      <selection/>
      <selection pane="bottomLeft" activeCell="A1" sqref="A1:B1"/>
    </sheetView>
  </sheetViews>
  <sheetFormatPr defaultColWidth="8.67619047619048" defaultRowHeight="15" outlineLevelCol="1"/>
  <cols>
    <col min="1" max="1" width="34" customWidth="1"/>
    <col min="2" max="2" width="95" customWidth="1"/>
  </cols>
  <sheetData>
    <row r="1" ht="30" customHeight="1" spans="1:2">
      <c r="A1" s="4" t="s">
        <v>73</v>
      </c>
      <c r="B1" s="4"/>
    </row>
    <row r="3" spans="1:2">
      <c r="A3" s="13" t="s">
        <v>74</v>
      </c>
      <c r="B3" s="13" t="s">
        <v>75</v>
      </c>
    </row>
    <row r="4" ht="39.75" customHeight="1" spans="1:2">
      <c r="A4" s="14" t="s">
        <v>76</v>
      </c>
      <c r="B4" s="15"/>
    </row>
    <row r="5" ht="39.75" customHeight="1" spans="1:2">
      <c r="A5" s="14" t="s">
        <v>77</v>
      </c>
      <c r="B5" s="15"/>
    </row>
    <row r="6" ht="39.75" customHeight="1" spans="1:2">
      <c r="A6" s="14" t="s">
        <v>78</v>
      </c>
      <c r="B6" s="15"/>
    </row>
    <row r="7" ht="39.75" customHeight="1" spans="1:2">
      <c r="A7" s="14" t="s">
        <v>79</v>
      </c>
      <c r="B7" s="15"/>
    </row>
    <row r="8" ht="39.75" customHeight="1" spans="1:2">
      <c r="A8" s="14" t="s">
        <v>80</v>
      </c>
      <c r="B8" s="15"/>
    </row>
    <row r="9" ht="39.75" customHeight="1" spans="1:2">
      <c r="A9" s="14" t="s">
        <v>81</v>
      </c>
      <c r="B9" s="15"/>
    </row>
    <row r="10" ht="39.75" customHeight="1" spans="1:2">
      <c r="A10" s="14" t="s">
        <v>82</v>
      </c>
      <c r="B10" s="15"/>
    </row>
    <row r="11" ht="39.75" customHeight="1" spans="1:2">
      <c r="A11" s="14" t="s">
        <v>83</v>
      </c>
      <c r="B11" s="15"/>
    </row>
    <row r="12" ht="39.75" customHeight="1" spans="1:2">
      <c r="A12" s="14" t="s">
        <v>84</v>
      </c>
      <c r="B12" s="15"/>
    </row>
    <row r="13" ht="39.75" customHeight="1" spans="1:2">
      <c r="A13" s="14" t="s">
        <v>85</v>
      </c>
      <c r="B13" s="15"/>
    </row>
    <row r="14" ht="39.75" customHeight="1" spans="1:2">
      <c r="A14" s="14" t="s">
        <v>86</v>
      </c>
      <c r="B14" s="15"/>
    </row>
    <row r="15" ht="39.75" customHeight="1" spans="1:2">
      <c r="A15" s="14" t="s">
        <v>87</v>
      </c>
      <c r="B15" s="15"/>
    </row>
    <row r="16" ht="39.75" customHeight="1" spans="1:2">
      <c r="A16" s="14" t="s">
        <v>88</v>
      </c>
      <c r="B16" s="15"/>
    </row>
    <row r="17" ht="39.75" customHeight="1" spans="1:2">
      <c r="A17" s="14" t="s">
        <v>89</v>
      </c>
      <c r="B17" s="15"/>
    </row>
    <row r="18" ht="39.75" customHeight="1" spans="1:2">
      <c r="A18" s="14" t="s">
        <v>90</v>
      </c>
      <c r="B18" s="15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2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/>
  <cols>
    <col min="1" max="1" width="10" customWidth="1"/>
    <col min="2" max="2" width="16" customWidth="1"/>
    <col min="3" max="3" width="24" customWidth="1"/>
    <col min="4" max="4" width="46" customWidth="1"/>
    <col min="5" max="5" width="30" customWidth="1"/>
    <col min="6" max="6" width="14" customWidth="1"/>
    <col min="7" max="7" width="30" customWidth="1"/>
    <col min="8" max="8" width="42" customWidth="1"/>
    <col min="9" max="9" width="30" customWidth="1"/>
    <col min="10" max="10" width="34" customWidth="1"/>
    <col min="11" max="11" width="9" customWidth="1"/>
    <col min="12" max="12" width="12" customWidth="1"/>
    <col min="13" max="13" width="20" customWidth="1"/>
    <col min="14" max="14" width="26" customWidth="1"/>
    <col min="15" max="15" width="16" customWidth="1"/>
    <col min="16" max="16" width="13" customWidth="1"/>
    <col min="17" max="17" width="18" customWidth="1"/>
    <col min="18" max="18" width="10" customWidth="1"/>
  </cols>
  <sheetData>
    <row r="1" ht="39.75" customHeight="1" spans="1:18">
      <c r="A1" s="16" t="s">
        <v>91</v>
      </c>
      <c r="B1" s="16" t="s">
        <v>92</v>
      </c>
      <c r="C1" s="16" t="s">
        <v>93</v>
      </c>
      <c r="D1" s="16" t="s">
        <v>94</v>
      </c>
      <c r="E1" s="16" t="s">
        <v>95</v>
      </c>
      <c r="F1" s="16" t="s">
        <v>96</v>
      </c>
      <c r="G1" s="16" t="s">
        <v>97</v>
      </c>
      <c r="H1" s="16" t="s">
        <v>98</v>
      </c>
      <c r="I1" s="16" t="s">
        <v>99</v>
      </c>
      <c r="J1" s="16" t="s">
        <v>100</v>
      </c>
      <c r="K1" s="16" t="s">
        <v>101</v>
      </c>
      <c r="L1" s="16" t="s">
        <v>102</v>
      </c>
      <c r="M1" s="16" t="s">
        <v>103</v>
      </c>
      <c r="N1" s="16" t="s">
        <v>104</v>
      </c>
      <c r="O1" s="16" t="s">
        <v>105</v>
      </c>
      <c r="P1" s="16" t="s">
        <v>106</v>
      </c>
      <c r="Q1" s="16" t="s">
        <v>107</v>
      </c>
      <c r="R1" s="16" t="s">
        <v>108</v>
      </c>
    </row>
    <row r="2" ht="30" customHeight="1" spans="1:18">
      <c r="A2" s="18" t="s">
        <v>109</v>
      </c>
      <c r="B2" s="18" t="s">
        <v>110</v>
      </c>
      <c r="C2" s="18" t="s">
        <v>111</v>
      </c>
      <c r="D2" s="18" t="s">
        <v>112</v>
      </c>
      <c r="E2" s="18" t="s">
        <v>113</v>
      </c>
      <c r="F2" s="18"/>
      <c r="G2" s="18" t="s">
        <v>114</v>
      </c>
      <c r="H2" s="18" t="s">
        <v>115</v>
      </c>
      <c r="I2" s="18" t="s">
        <v>116</v>
      </c>
      <c r="J2" s="18" t="s">
        <v>117</v>
      </c>
      <c r="K2" s="18" t="s">
        <v>118</v>
      </c>
      <c r="L2" s="18"/>
      <c r="M2" s="18" t="s">
        <v>119</v>
      </c>
      <c r="N2" s="18"/>
      <c r="O2" s="18"/>
      <c r="P2" s="18"/>
      <c r="Q2" s="18"/>
      <c r="R2" s="18"/>
    </row>
    <row r="3" ht="30" customHeight="1" spans="1:18">
      <c r="A3" s="18" t="s">
        <v>120</v>
      </c>
      <c r="B3" s="18" t="s">
        <v>110</v>
      </c>
      <c r="C3" s="18" t="s">
        <v>111</v>
      </c>
      <c r="D3" s="18" t="s">
        <v>121</v>
      </c>
      <c r="E3" s="18" t="s">
        <v>113</v>
      </c>
      <c r="F3" s="18"/>
      <c r="G3" s="18" t="s">
        <v>122</v>
      </c>
      <c r="H3" s="18" t="s">
        <v>123</v>
      </c>
      <c r="I3" s="18" t="s">
        <v>124</v>
      </c>
      <c r="J3" s="18" t="s">
        <v>125</v>
      </c>
      <c r="K3" s="18" t="s">
        <v>118</v>
      </c>
      <c r="L3" s="18"/>
      <c r="M3" s="18" t="s">
        <v>119</v>
      </c>
      <c r="N3" s="18"/>
      <c r="O3" s="18"/>
      <c r="P3" s="18"/>
      <c r="Q3" s="18"/>
      <c r="R3" s="18"/>
    </row>
    <row r="4" ht="30" customHeight="1" spans="1:18">
      <c r="A4" s="18" t="s">
        <v>126</v>
      </c>
      <c r="B4" s="18" t="s">
        <v>110</v>
      </c>
      <c r="C4" s="18" t="s">
        <v>111</v>
      </c>
      <c r="D4" s="18" t="s">
        <v>127</v>
      </c>
      <c r="E4" s="18" t="s">
        <v>113</v>
      </c>
      <c r="F4" s="18"/>
      <c r="G4" s="18" t="s">
        <v>128</v>
      </c>
      <c r="H4" s="18" t="s">
        <v>129</v>
      </c>
      <c r="I4" s="18" t="s">
        <v>130</v>
      </c>
      <c r="J4" s="18" t="s">
        <v>131</v>
      </c>
      <c r="K4" s="18" t="s">
        <v>118</v>
      </c>
      <c r="L4" s="18"/>
      <c r="M4" s="18" t="s">
        <v>119</v>
      </c>
      <c r="N4" s="18"/>
      <c r="O4" s="18"/>
      <c r="P4" s="18"/>
      <c r="Q4" s="18"/>
      <c r="R4" s="18"/>
    </row>
    <row r="5" ht="30" customHeight="1" spans="1:18">
      <c r="A5" s="18" t="s">
        <v>132</v>
      </c>
      <c r="B5" s="18" t="s">
        <v>110</v>
      </c>
      <c r="C5" s="18" t="s">
        <v>111</v>
      </c>
      <c r="D5" s="18" t="s">
        <v>133</v>
      </c>
      <c r="E5" s="18" t="s">
        <v>113</v>
      </c>
      <c r="F5" s="18"/>
      <c r="G5" s="18" t="s">
        <v>134</v>
      </c>
      <c r="H5" s="18" t="s">
        <v>135</v>
      </c>
      <c r="I5" s="18" t="s">
        <v>136</v>
      </c>
      <c r="J5" s="18" t="s">
        <v>137</v>
      </c>
      <c r="K5" s="18" t="s">
        <v>138</v>
      </c>
      <c r="L5" s="18"/>
      <c r="M5" s="18" t="s">
        <v>119</v>
      </c>
      <c r="N5" s="18"/>
      <c r="O5" s="18"/>
      <c r="P5" s="18"/>
      <c r="Q5" s="18"/>
      <c r="R5" s="18"/>
    </row>
    <row r="6" ht="30" customHeight="1" spans="1:18">
      <c r="A6" s="18" t="s">
        <v>139</v>
      </c>
      <c r="B6" s="18" t="s">
        <v>110</v>
      </c>
      <c r="C6" s="18" t="s">
        <v>111</v>
      </c>
      <c r="D6" s="18" t="s">
        <v>140</v>
      </c>
      <c r="E6" s="18" t="s">
        <v>113</v>
      </c>
      <c r="F6" s="18"/>
      <c r="G6" s="18" t="s">
        <v>141</v>
      </c>
      <c r="H6" s="18" t="s">
        <v>142</v>
      </c>
      <c r="I6" s="18" t="s">
        <v>143</v>
      </c>
      <c r="J6" s="18" t="s">
        <v>144</v>
      </c>
      <c r="K6" s="18" t="s">
        <v>138</v>
      </c>
      <c r="L6" s="18"/>
      <c r="M6" s="18" t="s">
        <v>119</v>
      </c>
      <c r="N6" s="18"/>
      <c r="O6" s="18"/>
      <c r="P6" s="18"/>
      <c r="Q6" s="18"/>
      <c r="R6" s="18"/>
    </row>
    <row r="7" ht="30" customHeight="1" spans="1:18">
      <c r="A7" s="18" t="s">
        <v>145</v>
      </c>
      <c r="B7" s="18" t="s">
        <v>110</v>
      </c>
      <c r="C7" s="18" t="s">
        <v>111</v>
      </c>
      <c r="D7" s="18" t="s">
        <v>146</v>
      </c>
      <c r="E7" s="18" t="s">
        <v>113</v>
      </c>
      <c r="F7" s="18"/>
      <c r="G7" s="18" t="s">
        <v>147</v>
      </c>
      <c r="H7" s="18" t="s">
        <v>148</v>
      </c>
      <c r="I7" s="18" t="s">
        <v>149</v>
      </c>
      <c r="J7" s="18" t="s">
        <v>150</v>
      </c>
      <c r="K7" s="18" t="s">
        <v>118</v>
      </c>
      <c r="L7" s="18"/>
      <c r="M7" s="18" t="s">
        <v>119</v>
      </c>
      <c r="N7" s="18"/>
      <c r="O7" s="18"/>
      <c r="P7" s="18"/>
      <c r="Q7" s="18"/>
      <c r="R7" s="18"/>
    </row>
    <row r="8" ht="30" customHeight="1" spans="1:18">
      <c r="A8" s="18" t="s">
        <v>151</v>
      </c>
      <c r="B8" s="18" t="s">
        <v>110</v>
      </c>
      <c r="C8" s="18" t="s">
        <v>111</v>
      </c>
      <c r="D8" s="18" t="s">
        <v>152</v>
      </c>
      <c r="E8" s="18" t="s">
        <v>113</v>
      </c>
      <c r="F8" s="18"/>
      <c r="G8" s="18" t="s">
        <v>153</v>
      </c>
      <c r="H8" s="18" t="s">
        <v>154</v>
      </c>
      <c r="I8" s="18" t="s">
        <v>155</v>
      </c>
      <c r="J8" s="18" t="s">
        <v>156</v>
      </c>
      <c r="K8" s="18" t="s">
        <v>118</v>
      </c>
      <c r="L8" s="18"/>
      <c r="M8" s="18" t="s">
        <v>119</v>
      </c>
      <c r="N8" s="18"/>
      <c r="O8" s="18"/>
      <c r="P8" s="18"/>
      <c r="Q8" s="18"/>
      <c r="R8" s="18"/>
    </row>
    <row r="9" ht="30" customHeight="1" spans="1:18">
      <c r="A9" s="18" t="s">
        <v>157</v>
      </c>
      <c r="B9" s="18" t="s">
        <v>110</v>
      </c>
      <c r="C9" s="18" t="s">
        <v>111</v>
      </c>
      <c r="D9" s="18" t="s">
        <v>158</v>
      </c>
      <c r="E9" s="18" t="s">
        <v>159</v>
      </c>
      <c r="F9" s="18"/>
      <c r="G9" s="18" t="s">
        <v>160</v>
      </c>
      <c r="H9" s="18" t="s">
        <v>161</v>
      </c>
      <c r="I9" s="18" t="s">
        <v>162</v>
      </c>
      <c r="J9" s="18" t="s">
        <v>163</v>
      </c>
      <c r="K9" s="18" t="s">
        <v>118</v>
      </c>
      <c r="L9" s="18"/>
      <c r="M9" s="18" t="s">
        <v>119</v>
      </c>
      <c r="N9" s="18"/>
      <c r="O9" s="18"/>
      <c r="P9" s="18"/>
      <c r="Q9" s="18"/>
      <c r="R9" s="18"/>
    </row>
    <row r="10" ht="30" customHeight="1" spans="1:18">
      <c r="A10" s="18" t="s">
        <v>164</v>
      </c>
      <c r="B10" s="18" t="s">
        <v>110</v>
      </c>
      <c r="C10" s="18" t="s">
        <v>111</v>
      </c>
      <c r="D10" s="18" t="s">
        <v>165</v>
      </c>
      <c r="E10" s="18" t="s">
        <v>113</v>
      </c>
      <c r="F10" s="18"/>
      <c r="G10" s="18" t="s">
        <v>166</v>
      </c>
      <c r="H10" s="18" t="s">
        <v>167</v>
      </c>
      <c r="I10" s="18" t="s">
        <v>168</v>
      </c>
      <c r="J10" s="18" t="s">
        <v>169</v>
      </c>
      <c r="K10" s="18" t="s">
        <v>118</v>
      </c>
      <c r="L10" s="18"/>
      <c r="M10" s="18" t="s">
        <v>119</v>
      </c>
      <c r="N10" s="18"/>
      <c r="O10" s="18"/>
      <c r="P10" s="18"/>
      <c r="Q10" s="18"/>
      <c r="R10" s="18"/>
    </row>
    <row r="11" ht="30" customHeight="1" spans="1:18">
      <c r="A11" s="18" t="s">
        <v>170</v>
      </c>
      <c r="B11" s="18" t="s">
        <v>110</v>
      </c>
      <c r="C11" s="18" t="s">
        <v>111</v>
      </c>
      <c r="D11" s="18" t="s">
        <v>171</v>
      </c>
      <c r="E11" s="18" t="s">
        <v>113</v>
      </c>
      <c r="F11" s="18"/>
      <c r="G11" s="18" t="s">
        <v>172</v>
      </c>
      <c r="H11" s="18" t="s">
        <v>173</v>
      </c>
      <c r="I11" s="18" t="s">
        <v>174</v>
      </c>
      <c r="J11" s="18" t="s">
        <v>175</v>
      </c>
      <c r="K11" s="18" t="s">
        <v>138</v>
      </c>
      <c r="L11" s="18"/>
      <c r="M11" s="18" t="s">
        <v>119</v>
      </c>
      <c r="N11" s="18"/>
      <c r="O11" s="18"/>
      <c r="P11" s="18"/>
      <c r="Q11" s="18"/>
      <c r="R11" s="18"/>
    </row>
    <row r="12" ht="30" customHeight="1" spans="1:18">
      <c r="A12" s="18" t="s">
        <v>176</v>
      </c>
      <c r="B12" s="18" t="s">
        <v>110</v>
      </c>
      <c r="C12" s="18" t="s">
        <v>111</v>
      </c>
      <c r="D12" s="18" t="s">
        <v>177</v>
      </c>
      <c r="E12" s="18" t="s">
        <v>113</v>
      </c>
      <c r="F12" s="18"/>
      <c r="G12" s="18" t="s">
        <v>178</v>
      </c>
      <c r="H12" s="18" t="s">
        <v>179</v>
      </c>
      <c r="I12" s="18" t="s">
        <v>180</v>
      </c>
      <c r="J12" s="18" t="s">
        <v>181</v>
      </c>
      <c r="K12" s="18" t="s">
        <v>118</v>
      </c>
      <c r="L12" s="18"/>
      <c r="M12" s="18" t="s">
        <v>119</v>
      </c>
      <c r="N12" s="18"/>
      <c r="O12" s="18"/>
      <c r="P12" s="18"/>
      <c r="Q12" s="18"/>
      <c r="R12" s="18"/>
    </row>
    <row r="13" ht="30" customHeight="1" spans="1:18">
      <c r="A13" s="18" t="s">
        <v>182</v>
      </c>
      <c r="B13" s="18" t="s">
        <v>110</v>
      </c>
      <c r="C13" s="18" t="s">
        <v>111</v>
      </c>
      <c r="D13" s="18" t="s">
        <v>183</v>
      </c>
      <c r="E13" s="18" t="s">
        <v>184</v>
      </c>
      <c r="F13" s="18"/>
      <c r="G13" s="18" t="s">
        <v>185</v>
      </c>
      <c r="H13" s="18" t="s">
        <v>186</v>
      </c>
      <c r="I13" s="18" t="s">
        <v>187</v>
      </c>
      <c r="J13" s="18" t="s">
        <v>188</v>
      </c>
      <c r="K13" s="18" t="s">
        <v>118</v>
      </c>
      <c r="L13" s="18"/>
      <c r="M13" s="18" t="s">
        <v>119</v>
      </c>
      <c r="N13" s="18"/>
      <c r="O13" s="18"/>
      <c r="P13" s="18"/>
      <c r="Q13" s="18"/>
      <c r="R13" s="18"/>
    </row>
    <row r="14" ht="30" customHeight="1" spans="1:18">
      <c r="A14" s="18" t="s">
        <v>189</v>
      </c>
      <c r="B14" s="18" t="s">
        <v>110</v>
      </c>
      <c r="C14" s="18" t="s">
        <v>111</v>
      </c>
      <c r="D14" s="18" t="s">
        <v>190</v>
      </c>
      <c r="E14" s="18" t="s">
        <v>113</v>
      </c>
      <c r="F14" s="18"/>
      <c r="G14" s="18" t="s">
        <v>191</v>
      </c>
      <c r="H14" s="18" t="s">
        <v>192</v>
      </c>
      <c r="I14" s="18" t="s">
        <v>193</v>
      </c>
      <c r="J14" s="18" t="s">
        <v>194</v>
      </c>
      <c r="K14" s="18" t="s">
        <v>138</v>
      </c>
      <c r="L14" s="18"/>
      <c r="M14" s="18" t="s">
        <v>119</v>
      </c>
      <c r="N14" s="18"/>
      <c r="O14" s="18"/>
      <c r="P14" s="18"/>
      <c r="Q14" s="18"/>
      <c r="R14" s="18"/>
    </row>
    <row r="15" ht="30" customHeight="1" spans="1:18">
      <c r="A15" s="18" t="s">
        <v>195</v>
      </c>
      <c r="B15" s="18" t="s">
        <v>110</v>
      </c>
      <c r="C15" s="18" t="s">
        <v>111</v>
      </c>
      <c r="D15" s="18" t="s">
        <v>196</v>
      </c>
      <c r="E15" s="18" t="s">
        <v>113</v>
      </c>
      <c r="F15" s="18"/>
      <c r="G15" s="18" t="s">
        <v>197</v>
      </c>
      <c r="H15" s="18" t="s">
        <v>198</v>
      </c>
      <c r="I15" s="18" t="s">
        <v>199</v>
      </c>
      <c r="J15" s="18" t="s">
        <v>200</v>
      </c>
      <c r="K15" s="18" t="s">
        <v>118</v>
      </c>
      <c r="L15" s="18"/>
      <c r="M15" s="18" t="s">
        <v>119</v>
      </c>
      <c r="N15" s="18"/>
      <c r="O15" s="18"/>
      <c r="P15" s="18"/>
      <c r="Q15" s="18"/>
      <c r="R15" s="18"/>
    </row>
    <row r="16" ht="30" customHeight="1" spans="1:18">
      <c r="A16" s="18" t="s">
        <v>201</v>
      </c>
      <c r="B16" s="18" t="s">
        <v>110</v>
      </c>
      <c r="C16" s="18" t="s">
        <v>111</v>
      </c>
      <c r="D16" s="18" t="s">
        <v>202</v>
      </c>
      <c r="E16" s="18" t="s">
        <v>113</v>
      </c>
      <c r="F16" s="18"/>
      <c r="G16" s="18" t="s">
        <v>203</v>
      </c>
      <c r="H16" s="18" t="s">
        <v>204</v>
      </c>
      <c r="I16" s="18" t="s">
        <v>205</v>
      </c>
      <c r="J16" s="18" t="s">
        <v>206</v>
      </c>
      <c r="K16" s="18" t="s">
        <v>207</v>
      </c>
      <c r="L16" s="18"/>
      <c r="M16" s="18" t="s">
        <v>119</v>
      </c>
      <c r="N16" s="18"/>
      <c r="O16" s="18"/>
      <c r="P16" s="18"/>
      <c r="Q16" s="18"/>
      <c r="R16" s="18"/>
    </row>
    <row r="17" ht="30" customHeight="1" spans="1:18">
      <c r="A17" s="18" t="s">
        <v>208</v>
      </c>
      <c r="B17" s="18" t="s">
        <v>110</v>
      </c>
      <c r="C17" s="18" t="s">
        <v>111</v>
      </c>
      <c r="D17" s="18" t="s">
        <v>209</v>
      </c>
      <c r="E17" s="18" t="s">
        <v>113</v>
      </c>
      <c r="F17" s="18"/>
      <c r="G17" s="18" t="s">
        <v>210</v>
      </c>
      <c r="H17" s="18" t="s">
        <v>211</v>
      </c>
      <c r="I17" s="18" t="s">
        <v>212</v>
      </c>
      <c r="J17" s="18" t="s">
        <v>213</v>
      </c>
      <c r="K17" s="18" t="s">
        <v>118</v>
      </c>
      <c r="L17" s="18"/>
      <c r="M17" s="18" t="s">
        <v>119</v>
      </c>
      <c r="N17" s="18"/>
      <c r="O17" s="18"/>
      <c r="P17" s="18"/>
      <c r="Q17" s="18"/>
      <c r="R17" s="18"/>
    </row>
    <row r="18" ht="30" customHeight="1" spans="1:18">
      <c r="A18" s="18" t="s">
        <v>214</v>
      </c>
      <c r="B18" s="18" t="s">
        <v>110</v>
      </c>
      <c r="C18" s="18" t="s">
        <v>111</v>
      </c>
      <c r="D18" s="18" t="s">
        <v>215</v>
      </c>
      <c r="E18" s="18" t="s">
        <v>113</v>
      </c>
      <c r="F18" s="18"/>
      <c r="G18" s="18" t="s">
        <v>216</v>
      </c>
      <c r="H18" s="18" t="s">
        <v>217</v>
      </c>
      <c r="I18" s="18" t="s">
        <v>218</v>
      </c>
      <c r="J18" s="18" t="s">
        <v>219</v>
      </c>
      <c r="K18" s="18" t="s">
        <v>207</v>
      </c>
      <c r="L18" s="18"/>
      <c r="M18" s="18" t="s">
        <v>119</v>
      </c>
      <c r="N18" s="18"/>
      <c r="O18" s="18"/>
      <c r="P18" s="18"/>
      <c r="Q18" s="18"/>
      <c r="R18" s="18"/>
    </row>
    <row r="19" ht="30" customHeight="1" spans="1:18">
      <c r="A19" s="18" t="s">
        <v>220</v>
      </c>
      <c r="B19" s="18" t="s">
        <v>110</v>
      </c>
      <c r="C19" s="18" t="s">
        <v>111</v>
      </c>
      <c r="D19" s="18" t="s">
        <v>221</v>
      </c>
      <c r="E19" s="18" t="s">
        <v>113</v>
      </c>
      <c r="F19" s="18"/>
      <c r="G19" s="18" t="s">
        <v>222</v>
      </c>
      <c r="H19" s="18" t="s">
        <v>223</v>
      </c>
      <c r="I19" s="18" t="s">
        <v>224</v>
      </c>
      <c r="J19" s="18" t="s">
        <v>225</v>
      </c>
      <c r="K19" s="18" t="s">
        <v>207</v>
      </c>
      <c r="L19" s="18"/>
      <c r="M19" s="18" t="s">
        <v>119</v>
      </c>
      <c r="N19" s="18"/>
      <c r="O19" s="18"/>
      <c r="P19" s="18"/>
      <c r="Q19" s="18"/>
      <c r="R19" s="18"/>
    </row>
    <row r="20" ht="30" customHeight="1" spans="1:18">
      <c r="A20" s="18" t="s">
        <v>226</v>
      </c>
      <c r="B20" s="18" t="s">
        <v>110</v>
      </c>
      <c r="C20" s="18" t="s">
        <v>111</v>
      </c>
      <c r="D20" s="18" t="s">
        <v>227</v>
      </c>
      <c r="E20" s="18" t="s">
        <v>228</v>
      </c>
      <c r="F20" s="18"/>
      <c r="G20" s="18" t="s">
        <v>229</v>
      </c>
      <c r="H20" s="18" t="s">
        <v>230</v>
      </c>
      <c r="I20" s="18" t="s">
        <v>231</v>
      </c>
      <c r="J20" s="18" t="s">
        <v>232</v>
      </c>
      <c r="K20" s="18" t="s">
        <v>207</v>
      </c>
      <c r="L20" s="18"/>
      <c r="M20" s="18" t="s">
        <v>119</v>
      </c>
      <c r="N20" s="18"/>
      <c r="O20" s="18"/>
      <c r="P20" s="18"/>
      <c r="Q20" s="18"/>
      <c r="R20" s="18"/>
    </row>
    <row r="21" ht="30" customHeight="1" spans="1:18">
      <c r="A21" s="18" t="s">
        <v>233</v>
      </c>
      <c r="B21" s="18" t="s">
        <v>110</v>
      </c>
      <c r="C21" s="18" t="s">
        <v>111</v>
      </c>
      <c r="D21" s="18" t="s">
        <v>234</v>
      </c>
      <c r="E21" s="18" t="s">
        <v>113</v>
      </c>
      <c r="F21" s="18"/>
      <c r="G21" s="18" t="s">
        <v>235</v>
      </c>
      <c r="H21" s="18" t="s">
        <v>236</v>
      </c>
      <c r="I21" s="18" t="s">
        <v>237</v>
      </c>
      <c r="J21" s="18" t="s">
        <v>238</v>
      </c>
      <c r="K21" s="18" t="s">
        <v>138</v>
      </c>
      <c r="L21" s="18"/>
      <c r="M21" s="18" t="s">
        <v>119</v>
      </c>
      <c r="N21" s="18"/>
      <c r="O21" s="18"/>
      <c r="P21" s="18"/>
      <c r="Q21" s="18"/>
      <c r="R21" s="18"/>
    </row>
    <row r="22" ht="30" customHeight="1" spans="1:18">
      <c r="A22" s="18" t="s">
        <v>239</v>
      </c>
      <c r="B22" s="18" t="s">
        <v>110</v>
      </c>
      <c r="C22" s="18" t="s">
        <v>111</v>
      </c>
      <c r="D22" s="18" t="s">
        <v>240</v>
      </c>
      <c r="E22" s="18" t="s">
        <v>241</v>
      </c>
      <c r="F22" s="18"/>
      <c r="G22" s="18" t="s">
        <v>242</v>
      </c>
      <c r="H22" s="18" t="s">
        <v>243</v>
      </c>
      <c r="I22" s="18" t="s">
        <v>244</v>
      </c>
      <c r="J22" s="18" t="s">
        <v>245</v>
      </c>
      <c r="K22" s="18" t="s">
        <v>118</v>
      </c>
      <c r="L22" s="18"/>
      <c r="M22" s="18" t="s">
        <v>119</v>
      </c>
      <c r="N22" s="18"/>
      <c r="O22" s="18"/>
      <c r="P22" s="18"/>
      <c r="Q22" s="18"/>
      <c r="R22" s="18"/>
    </row>
    <row r="23" ht="30" customHeight="1" spans="1:18">
      <c r="A23" s="18" t="s">
        <v>246</v>
      </c>
      <c r="B23" s="18" t="s">
        <v>110</v>
      </c>
      <c r="C23" s="18" t="s">
        <v>111</v>
      </c>
      <c r="D23" s="18" t="s">
        <v>247</v>
      </c>
      <c r="E23" s="18" t="s">
        <v>248</v>
      </c>
      <c r="F23" s="18"/>
      <c r="G23" s="18" t="s">
        <v>249</v>
      </c>
      <c r="H23" s="18" t="s">
        <v>250</v>
      </c>
      <c r="I23" s="18" t="s">
        <v>251</v>
      </c>
      <c r="J23" s="18" t="s">
        <v>252</v>
      </c>
      <c r="K23" s="18" t="s">
        <v>138</v>
      </c>
      <c r="L23" s="18"/>
      <c r="M23" s="18" t="s">
        <v>119</v>
      </c>
      <c r="N23" s="18"/>
      <c r="O23" s="18"/>
      <c r="P23" s="18"/>
      <c r="Q23" s="18"/>
      <c r="R23" s="18"/>
    </row>
    <row r="24" ht="30" customHeight="1" spans="1:18">
      <c r="A24" s="18" t="s">
        <v>253</v>
      </c>
      <c r="B24" s="18" t="s">
        <v>110</v>
      </c>
      <c r="C24" s="18" t="s">
        <v>111</v>
      </c>
      <c r="D24" s="18" t="s">
        <v>254</v>
      </c>
      <c r="E24" s="18" t="s">
        <v>255</v>
      </c>
      <c r="F24" s="18"/>
      <c r="G24" s="18" t="s">
        <v>256</v>
      </c>
      <c r="H24" s="18" t="s">
        <v>257</v>
      </c>
      <c r="I24" s="18" t="s">
        <v>258</v>
      </c>
      <c r="J24" s="18" t="s">
        <v>259</v>
      </c>
      <c r="K24" s="18" t="s">
        <v>138</v>
      </c>
      <c r="L24" s="18"/>
      <c r="M24" s="18" t="s">
        <v>119</v>
      </c>
      <c r="N24" s="18"/>
      <c r="O24" s="18"/>
      <c r="P24" s="18"/>
      <c r="Q24" s="18"/>
      <c r="R24" s="18"/>
    </row>
    <row r="25" ht="30" customHeight="1" spans="1:18">
      <c r="A25" s="18" t="s">
        <v>260</v>
      </c>
      <c r="B25" s="18" t="s">
        <v>110</v>
      </c>
      <c r="C25" s="18" t="s">
        <v>111</v>
      </c>
      <c r="D25" s="18" t="s">
        <v>261</v>
      </c>
      <c r="E25" s="18" t="s">
        <v>113</v>
      </c>
      <c r="F25" s="18"/>
      <c r="G25" s="18" t="s">
        <v>262</v>
      </c>
      <c r="H25" s="18" t="s">
        <v>263</v>
      </c>
      <c r="I25" s="18" t="s">
        <v>264</v>
      </c>
      <c r="J25" s="18" t="s">
        <v>265</v>
      </c>
      <c r="K25" s="18" t="s">
        <v>118</v>
      </c>
      <c r="L25" s="18"/>
      <c r="M25" s="18" t="s">
        <v>119</v>
      </c>
      <c r="N25" s="18"/>
      <c r="O25" s="18"/>
      <c r="P25" s="18"/>
      <c r="Q25" s="18"/>
      <c r="R25" s="18"/>
    </row>
    <row r="26" ht="30" customHeight="1" spans="1:18">
      <c r="A26" s="18" t="s">
        <v>266</v>
      </c>
      <c r="B26" s="18" t="s">
        <v>267</v>
      </c>
      <c r="C26" s="18" t="s">
        <v>268</v>
      </c>
      <c r="D26" s="18" t="s">
        <v>269</v>
      </c>
      <c r="E26" s="18" t="s">
        <v>113</v>
      </c>
      <c r="F26" s="18"/>
      <c r="G26" s="18" t="s">
        <v>270</v>
      </c>
      <c r="H26" s="18" t="s">
        <v>271</v>
      </c>
      <c r="I26" s="18" t="s">
        <v>272</v>
      </c>
      <c r="J26" s="18" t="s">
        <v>273</v>
      </c>
      <c r="K26" s="18" t="s">
        <v>118</v>
      </c>
      <c r="L26" s="18"/>
      <c r="M26" s="18" t="s">
        <v>119</v>
      </c>
      <c r="N26" s="18"/>
      <c r="O26" s="18"/>
      <c r="P26" s="18"/>
      <c r="Q26" s="18"/>
      <c r="R26" s="18"/>
    </row>
    <row r="27" ht="30" customHeight="1" spans="1:18">
      <c r="A27" s="18" t="s">
        <v>274</v>
      </c>
      <c r="B27" s="18" t="s">
        <v>267</v>
      </c>
      <c r="C27" s="18" t="s">
        <v>268</v>
      </c>
      <c r="D27" s="18" t="s">
        <v>275</v>
      </c>
      <c r="E27" s="18" t="s">
        <v>113</v>
      </c>
      <c r="F27" s="18"/>
      <c r="G27" s="18" t="s">
        <v>276</v>
      </c>
      <c r="H27" s="18" t="s">
        <v>277</v>
      </c>
      <c r="I27" s="18" t="s">
        <v>278</v>
      </c>
      <c r="J27" s="18" t="s">
        <v>279</v>
      </c>
      <c r="K27" s="18" t="s">
        <v>138</v>
      </c>
      <c r="L27" s="18"/>
      <c r="M27" s="18" t="s">
        <v>119</v>
      </c>
      <c r="N27" s="18"/>
      <c r="O27" s="18"/>
      <c r="P27" s="18"/>
      <c r="Q27" s="18"/>
      <c r="R27" s="18"/>
    </row>
    <row r="28" ht="30" customHeight="1" spans="1:18">
      <c r="A28" s="18" t="s">
        <v>280</v>
      </c>
      <c r="B28" s="18" t="s">
        <v>267</v>
      </c>
      <c r="C28" s="18" t="s">
        <v>268</v>
      </c>
      <c r="D28" s="18" t="s">
        <v>281</v>
      </c>
      <c r="E28" s="18" t="s">
        <v>113</v>
      </c>
      <c r="F28" s="18"/>
      <c r="G28" s="18" t="s">
        <v>282</v>
      </c>
      <c r="H28" s="18" t="s">
        <v>283</v>
      </c>
      <c r="I28" s="18" t="s">
        <v>284</v>
      </c>
      <c r="J28" s="18" t="s">
        <v>285</v>
      </c>
      <c r="K28" s="18" t="s">
        <v>118</v>
      </c>
      <c r="L28" s="18"/>
      <c r="M28" s="18" t="s">
        <v>119</v>
      </c>
      <c r="N28" s="18"/>
      <c r="O28" s="18"/>
      <c r="P28" s="18"/>
      <c r="Q28" s="18"/>
      <c r="R28" s="18"/>
    </row>
    <row r="29" ht="30" customHeight="1" spans="1:18">
      <c r="A29" s="18" t="s">
        <v>286</v>
      </c>
      <c r="B29" s="18" t="s">
        <v>267</v>
      </c>
      <c r="C29" s="18" t="s">
        <v>268</v>
      </c>
      <c r="D29" s="18" t="s">
        <v>287</v>
      </c>
      <c r="E29" s="18" t="s">
        <v>288</v>
      </c>
      <c r="F29" s="18"/>
      <c r="G29" s="18" t="s">
        <v>289</v>
      </c>
      <c r="H29" s="18" t="s">
        <v>290</v>
      </c>
      <c r="I29" s="18" t="s">
        <v>291</v>
      </c>
      <c r="J29" s="18" t="s">
        <v>292</v>
      </c>
      <c r="K29" s="18" t="s">
        <v>207</v>
      </c>
      <c r="L29" s="18"/>
      <c r="M29" s="18" t="s">
        <v>119</v>
      </c>
      <c r="N29" s="18"/>
      <c r="O29" s="18"/>
      <c r="P29" s="18"/>
      <c r="Q29" s="18"/>
      <c r="R29" s="18"/>
    </row>
    <row r="30" ht="30" customHeight="1" spans="1:18">
      <c r="A30" s="18" t="s">
        <v>293</v>
      </c>
      <c r="B30" s="18" t="s">
        <v>267</v>
      </c>
      <c r="C30" s="18" t="s">
        <v>268</v>
      </c>
      <c r="D30" s="18" t="s">
        <v>294</v>
      </c>
      <c r="E30" s="18" t="s">
        <v>113</v>
      </c>
      <c r="F30" s="18"/>
      <c r="G30" s="18" t="s">
        <v>295</v>
      </c>
      <c r="H30" s="18" t="s">
        <v>296</v>
      </c>
      <c r="I30" s="18" t="s">
        <v>297</v>
      </c>
      <c r="J30" s="18" t="s">
        <v>298</v>
      </c>
      <c r="K30" s="18" t="s">
        <v>118</v>
      </c>
      <c r="L30" s="18"/>
      <c r="M30" s="18" t="s">
        <v>119</v>
      </c>
      <c r="N30" s="18"/>
      <c r="O30" s="18"/>
      <c r="P30" s="18"/>
      <c r="Q30" s="18"/>
      <c r="R30" s="18"/>
    </row>
    <row r="31" ht="30" customHeight="1" spans="1:18">
      <c r="A31" s="18" t="s">
        <v>299</v>
      </c>
      <c r="B31" s="18" t="s">
        <v>267</v>
      </c>
      <c r="C31" s="18" t="s">
        <v>268</v>
      </c>
      <c r="D31" s="18" t="s">
        <v>300</v>
      </c>
      <c r="E31" s="18" t="s">
        <v>113</v>
      </c>
      <c r="F31" s="18"/>
      <c r="G31" s="18" t="s">
        <v>301</v>
      </c>
      <c r="H31" s="18" t="s">
        <v>302</v>
      </c>
      <c r="I31" s="18" t="s">
        <v>303</v>
      </c>
      <c r="J31" s="18" t="s">
        <v>304</v>
      </c>
      <c r="K31" s="18" t="s">
        <v>138</v>
      </c>
      <c r="L31" s="18"/>
      <c r="M31" s="18" t="s">
        <v>119</v>
      </c>
      <c r="N31" s="18"/>
      <c r="O31" s="18"/>
      <c r="P31" s="18"/>
      <c r="Q31" s="18"/>
      <c r="R31" s="18"/>
    </row>
    <row r="32" ht="30" customHeight="1" spans="1:18">
      <c r="A32" s="18" t="s">
        <v>305</v>
      </c>
      <c r="B32" s="18" t="s">
        <v>267</v>
      </c>
      <c r="C32" s="18" t="s">
        <v>268</v>
      </c>
      <c r="D32" s="18" t="s">
        <v>306</v>
      </c>
      <c r="E32" s="18" t="s">
        <v>113</v>
      </c>
      <c r="F32" s="18"/>
      <c r="G32" s="18" t="s">
        <v>307</v>
      </c>
      <c r="H32" s="18" t="s">
        <v>308</v>
      </c>
      <c r="I32" s="18" t="s">
        <v>278</v>
      </c>
      <c r="J32" s="18" t="s">
        <v>309</v>
      </c>
      <c r="K32" s="18" t="s">
        <v>310</v>
      </c>
      <c r="L32" s="18"/>
      <c r="M32" s="18" t="s">
        <v>119</v>
      </c>
      <c r="N32" s="18"/>
      <c r="O32" s="18"/>
      <c r="P32" s="18"/>
      <c r="Q32" s="18"/>
      <c r="R32" s="18"/>
    </row>
    <row r="33" ht="30" customHeight="1" spans="1:18">
      <c r="A33" s="18" t="s">
        <v>311</v>
      </c>
      <c r="B33" s="18" t="s">
        <v>267</v>
      </c>
      <c r="C33" s="18" t="s">
        <v>268</v>
      </c>
      <c r="D33" s="18" t="s">
        <v>312</v>
      </c>
      <c r="E33" s="18" t="s">
        <v>113</v>
      </c>
      <c r="F33" s="18"/>
      <c r="G33" s="18" t="s">
        <v>313</v>
      </c>
      <c r="H33" s="18" t="s">
        <v>314</v>
      </c>
      <c r="I33" s="18" t="s">
        <v>315</v>
      </c>
      <c r="J33" s="18" t="s">
        <v>316</v>
      </c>
      <c r="K33" s="18" t="s">
        <v>310</v>
      </c>
      <c r="L33" s="18"/>
      <c r="M33" s="18" t="s">
        <v>119</v>
      </c>
      <c r="N33" s="18"/>
      <c r="O33" s="18"/>
      <c r="P33" s="18"/>
      <c r="Q33" s="18"/>
      <c r="R33" s="18"/>
    </row>
    <row r="34" ht="30" customHeight="1" spans="1:18">
      <c r="A34" s="18" t="s">
        <v>317</v>
      </c>
      <c r="B34" s="18" t="s">
        <v>267</v>
      </c>
      <c r="C34" s="18" t="s">
        <v>268</v>
      </c>
      <c r="D34" s="18" t="s">
        <v>318</v>
      </c>
      <c r="E34" s="18" t="s">
        <v>319</v>
      </c>
      <c r="F34" s="18"/>
      <c r="G34" s="18" t="s">
        <v>320</v>
      </c>
      <c r="H34" s="18" t="s">
        <v>321</v>
      </c>
      <c r="I34" s="18" t="s">
        <v>278</v>
      </c>
      <c r="J34" s="18" t="s">
        <v>322</v>
      </c>
      <c r="K34" s="18" t="s">
        <v>118</v>
      </c>
      <c r="L34" s="18"/>
      <c r="M34" s="18" t="s">
        <v>119</v>
      </c>
      <c r="N34" s="18"/>
      <c r="O34" s="18"/>
      <c r="P34" s="18"/>
      <c r="Q34" s="18"/>
      <c r="R34" s="18"/>
    </row>
    <row r="35" ht="30" customHeight="1" spans="1:18">
      <c r="A35" s="18" t="s">
        <v>323</v>
      </c>
      <c r="B35" s="18" t="s">
        <v>267</v>
      </c>
      <c r="C35" s="18" t="s">
        <v>268</v>
      </c>
      <c r="D35" s="18" t="s">
        <v>324</v>
      </c>
      <c r="E35" s="18" t="s">
        <v>325</v>
      </c>
      <c r="F35" s="18"/>
      <c r="G35" s="18" t="s">
        <v>326</v>
      </c>
      <c r="H35" s="18" t="s">
        <v>327</v>
      </c>
      <c r="I35" s="18" t="s">
        <v>328</v>
      </c>
      <c r="J35" s="18" t="s">
        <v>329</v>
      </c>
      <c r="K35" s="18" t="s">
        <v>138</v>
      </c>
      <c r="L35" s="18"/>
      <c r="M35" s="18" t="s">
        <v>119</v>
      </c>
      <c r="N35" s="18"/>
      <c r="O35" s="18"/>
      <c r="P35" s="18"/>
      <c r="Q35" s="18"/>
      <c r="R35" s="18"/>
    </row>
    <row r="36" ht="30" customHeight="1" spans="1:18">
      <c r="A36" s="18" t="s">
        <v>330</v>
      </c>
      <c r="B36" s="18" t="s">
        <v>267</v>
      </c>
      <c r="C36" s="18" t="s">
        <v>268</v>
      </c>
      <c r="D36" s="18" t="s">
        <v>331</v>
      </c>
      <c r="E36" s="18" t="s">
        <v>113</v>
      </c>
      <c r="F36" s="18"/>
      <c r="G36" s="18" t="s">
        <v>332</v>
      </c>
      <c r="H36" s="18" t="s">
        <v>333</v>
      </c>
      <c r="I36" s="18" t="s">
        <v>334</v>
      </c>
      <c r="J36" s="18" t="s">
        <v>335</v>
      </c>
      <c r="K36" s="18" t="s">
        <v>118</v>
      </c>
      <c r="L36" s="18"/>
      <c r="M36" s="18" t="s">
        <v>119</v>
      </c>
      <c r="N36" s="18"/>
      <c r="O36" s="18"/>
      <c r="P36" s="18"/>
      <c r="Q36" s="18"/>
      <c r="R36" s="18"/>
    </row>
    <row r="37" ht="30" customHeight="1" spans="1:18">
      <c r="A37" s="18" t="s">
        <v>336</v>
      </c>
      <c r="B37" s="18" t="s">
        <v>267</v>
      </c>
      <c r="C37" s="18" t="s">
        <v>268</v>
      </c>
      <c r="D37" s="18" t="s">
        <v>337</v>
      </c>
      <c r="E37" s="18" t="s">
        <v>113</v>
      </c>
      <c r="F37" s="18"/>
      <c r="G37" s="18" t="s">
        <v>338</v>
      </c>
      <c r="H37" s="18" t="s">
        <v>339</v>
      </c>
      <c r="I37" s="18" t="s">
        <v>340</v>
      </c>
      <c r="J37" s="18" t="s">
        <v>341</v>
      </c>
      <c r="K37" s="18" t="s">
        <v>310</v>
      </c>
      <c r="L37" s="18"/>
      <c r="M37" s="18" t="s">
        <v>119</v>
      </c>
      <c r="N37" s="18"/>
      <c r="O37" s="18"/>
      <c r="P37" s="18"/>
      <c r="Q37" s="18"/>
      <c r="R37" s="18"/>
    </row>
    <row r="38" ht="30" customHeight="1" spans="1:18">
      <c r="A38" s="18" t="s">
        <v>342</v>
      </c>
      <c r="B38" s="18" t="s">
        <v>267</v>
      </c>
      <c r="C38" s="18" t="s">
        <v>268</v>
      </c>
      <c r="D38" s="18" t="s">
        <v>343</v>
      </c>
      <c r="E38" s="18" t="s">
        <v>344</v>
      </c>
      <c r="F38" s="18"/>
      <c r="G38" s="18" t="s">
        <v>345</v>
      </c>
      <c r="H38" s="18" t="s">
        <v>346</v>
      </c>
      <c r="I38" s="18" t="s">
        <v>347</v>
      </c>
      <c r="J38" s="18" t="s">
        <v>348</v>
      </c>
      <c r="K38" s="18" t="s">
        <v>349</v>
      </c>
      <c r="L38" s="18"/>
      <c r="M38" s="18" t="s">
        <v>119</v>
      </c>
      <c r="N38" s="18"/>
      <c r="O38" s="18"/>
      <c r="P38" s="18"/>
      <c r="Q38" s="18"/>
      <c r="R38" s="18"/>
    </row>
    <row r="39" ht="30" customHeight="1" spans="1:18">
      <c r="A39" s="18" t="s">
        <v>350</v>
      </c>
      <c r="B39" s="18" t="s">
        <v>267</v>
      </c>
      <c r="C39" s="18" t="s">
        <v>268</v>
      </c>
      <c r="D39" s="18" t="s">
        <v>351</v>
      </c>
      <c r="E39" s="18" t="s">
        <v>113</v>
      </c>
      <c r="F39" s="18"/>
      <c r="G39" s="18" t="s">
        <v>352</v>
      </c>
      <c r="H39" s="18" t="s">
        <v>353</v>
      </c>
      <c r="I39" s="18" t="s">
        <v>354</v>
      </c>
      <c r="J39" s="18" t="s">
        <v>355</v>
      </c>
      <c r="K39" s="18" t="s">
        <v>118</v>
      </c>
      <c r="L39" s="18"/>
      <c r="M39" s="18" t="s">
        <v>119</v>
      </c>
      <c r="N39" s="18"/>
      <c r="O39" s="18"/>
      <c r="P39" s="18"/>
      <c r="Q39" s="18"/>
      <c r="R39" s="18"/>
    </row>
    <row r="40" ht="30" customHeight="1" spans="1:18">
      <c r="A40" s="18" t="s">
        <v>356</v>
      </c>
      <c r="B40" s="18" t="s">
        <v>267</v>
      </c>
      <c r="C40" s="18" t="s">
        <v>268</v>
      </c>
      <c r="D40" s="18" t="s">
        <v>357</v>
      </c>
      <c r="E40" s="18" t="s">
        <v>358</v>
      </c>
      <c r="F40" s="18"/>
      <c r="G40" s="18" t="s">
        <v>359</v>
      </c>
      <c r="H40" s="18" t="s">
        <v>360</v>
      </c>
      <c r="I40" s="18" t="s">
        <v>361</v>
      </c>
      <c r="J40" s="18" t="s">
        <v>362</v>
      </c>
      <c r="K40" s="18" t="s">
        <v>349</v>
      </c>
      <c r="L40" s="18"/>
      <c r="M40" s="18" t="s">
        <v>119</v>
      </c>
      <c r="N40" s="18"/>
      <c r="O40" s="18"/>
      <c r="P40" s="18"/>
      <c r="Q40" s="18"/>
      <c r="R40" s="18"/>
    </row>
    <row r="41" ht="30" customHeight="1" spans="1:18">
      <c r="A41" s="18" t="s">
        <v>363</v>
      </c>
      <c r="B41" s="18" t="s">
        <v>267</v>
      </c>
      <c r="C41" s="18" t="s">
        <v>268</v>
      </c>
      <c r="D41" s="18" t="s">
        <v>364</v>
      </c>
      <c r="E41" s="18" t="s">
        <v>113</v>
      </c>
      <c r="F41" s="18"/>
      <c r="G41" s="18" t="s">
        <v>365</v>
      </c>
      <c r="H41" s="18" t="s">
        <v>366</v>
      </c>
      <c r="I41" s="18" t="s">
        <v>367</v>
      </c>
      <c r="J41" s="18" t="s">
        <v>368</v>
      </c>
      <c r="K41" s="18" t="s">
        <v>349</v>
      </c>
      <c r="L41" s="18"/>
      <c r="M41" s="18" t="s">
        <v>119</v>
      </c>
      <c r="N41" s="18"/>
      <c r="O41" s="18"/>
      <c r="P41" s="18"/>
      <c r="Q41" s="18"/>
      <c r="R41" s="18"/>
    </row>
    <row r="42" ht="30" customHeight="1" spans="1:18">
      <c r="A42" s="18" t="s">
        <v>369</v>
      </c>
      <c r="B42" s="18" t="s">
        <v>267</v>
      </c>
      <c r="C42" s="18" t="s">
        <v>268</v>
      </c>
      <c r="D42" s="18" t="s">
        <v>370</v>
      </c>
      <c r="E42" s="18" t="s">
        <v>113</v>
      </c>
      <c r="F42" s="18"/>
      <c r="G42" s="18" t="s">
        <v>371</v>
      </c>
      <c r="H42" s="18" t="s">
        <v>372</v>
      </c>
      <c r="I42" s="18" t="s">
        <v>373</v>
      </c>
      <c r="J42" s="18" t="s">
        <v>374</v>
      </c>
      <c r="K42" s="18" t="s">
        <v>310</v>
      </c>
      <c r="L42" s="18"/>
      <c r="M42" s="18" t="s">
        <v>119</v>
      </c>
      <c r="N42" s="18"/>
      <c r="O42" s="18"/>
      <c r="P42" s="18"/>
      <c r="Q42" s="18"/>
      <c r="R42" s="18"/>
    </row>
    <row r="43" ht="30" customHeight="1" spans="1:18">
      <c r="A43" s="18" t="s">
        <v>375</v>
      </c>
      <c r="B43" s="18" t="s">
        <v>267</v>
      </c>
      <c r="C43" s="18" t="s">
        <v>268</v>
      </c>
      <c r="D43" s="18" t="s">
        <v>376</v>
      </c>
      <c r="E43" s="18" t="s">
        <v>113</v>
      </c>
      <c r="F43" s="18"/>
      <c r="G43" s="18" t="s">
        <v>377</v>
      </c>
      <c r="H43" s="18" t="s">
        <v>378</v>
      </c>
      <c r="I43" s="18" t="s">
        <v>379</v>
      </c>
      <c r="J43" s="18" t="s">
        <v>380</v>
      </c>
      <c r="K43" s="18" t="s">
        <v>138</v>
      </c>
      <c r="L43" s="18"/>
      <c r="M43" s="18" t="s">
        <v>119</v>
      </c>
      <c r="N43" s="18"/>
      <c r="O43" s="18"/>
      <c r="P43" s="18"/>
      <c r="Q43" s="18"/>
      <c r="R43" s="18"/>
    </row>
    <row r="44" ht="30" customHeight="1" spans="1:18">
      <c r="A44" s="18" t="s">
        <v>381</v>
      </c>
      <c r="B44" s="18" t="s">
        <v>267</v>
      </c>
      <c r="C44" s="18" t="s">
        <v>268</v>
      </c>
      <c r="D44" s="18" t="s">
        <v>382</v>
      </c>
      <c r="E44" s="18" t="s">
        <v>383</v>
      </c>
      <c r="F44" s="18"/>
      <c r="G44" s="18" t="s">
        <v>384</v>
      </c>
      <c r="H44" s="18" t="s">
        <v>385</v>
      </c>
      <c r="I44" s="18" t="s">
        <v>386</v>
      </c>
      <c r="J44" s="18" t="s">
        <v>387</v>
      </c>
      <c r="K44" s="18" t="s">
        <v>349</v>
      </c>
      <c r="L44" s="18"/>
      <c r="M44" s="18" t="s">
        <v>119</v>
      </c>
      <c r="N44" s="18"/>
      <c r="O44" s="18"/>
      <c r="P44" s="18"/>
      <c r="Q44" s="18"/>
      <c r="R44" s="18"/>
    </row>
    <row r="45" ht="30" customHeight="1" spans="1:18">
      <c r="A45" s="18" t="s">
        <v>388</v>
      </c>
      <c r="B45" s="18" t="s">
        <v>267</v>
      </c>
      <c r="C45" s="18" t="s">
        <v>268</v>
      </c>
      <c r="D45" s="18" t="s">
        <v>389</v>
      </c>
      <c r="E45" s="18" t="s">
        <v>113</v>
      </c>
      <c r="F45" s="18"/>
      <c r="G45" s="18" t="s">
        <v>390</v>
      </c>
      <c r="H45" s="18" t="s">
        <v>391</v>
      </c>
      <c r="I45" s="18" t="s">
        <v>392</v>
      </c>
      <c r="J45" s="18" t="s">
        <v>393</v>
      </c>
      <c r="K45" s="18" t="s">
        <v>138</v>
      </c>
      <c r="L45" s="18"/>
      <c r="M45" s="18" t="s">
        <v>119</v>
      </c>
      <c r="N45" s="18"/>
      <c r="O45" s="18"/>
      <c r="P45" s="18"/>
      <c r="Q45" s="18"/>
      <c r="R45" s="18"/>
    </row>
    <row r="46" ht="30" customHeight="1" spans="1:18">
      <c r="A46" s="18" t="s">
        <v>394</v>
      </c>
      <c r="B46" s="18" t="s">
        <v>267</v>
      </c>
      <c r="C46" s="18" t="s">
        <v>268</v>
      </c>
      <c r="D46" s="18" t="s">
        <v>395</v>
      </c>
      <c r="E46" s="18" t="s">
        <v>396</v>
      </c>
      <c r="F46" s="18"/>
      <c r="G46" s="18" t="s">
        <v>397</v>
      </c>
      <c r="H46" s="18" t="s">
        <v>398</v>
      </c>
      <c r="I46" s="18" t="s">
        <v>399</v>
      </c>
      <c r="J46" s="18" t="s">
        <v>400</v>
      </c>
      <c r="K46" s="18" t="s">
        <v>310</v>
      </c>
      <c r="L46" s="18"/>
      <c r="M46" s="18" t="s">
        <v>119</v>
      </c>
      <c r="N46" s="18"/>
      <c r="O46" s="18"/>
      <c r="P46" s="18"/>
      <c r="Q46" s="18"/>
      <c r="R46" s="18"/>
    </row>
    <row r="47" ht="30" customHeight="1" spans="1:18">
      <c r="A47" s="18" t="s">
        <v>401</v>
      </c>
      <c r="B47" s="18" t="s">
        <v>267</v>
      </c>
      <c r="C47" s="18" t="s">
        <v>268</v>
      </c>
      <c r="D47" s="18" t="s">
        <v>402</v>
      </c>
      <c r="E47" s="18" t="s">
        <v>403</v>
      </c>
      <c r="F47" s="18"/>
      <c r="G47" s="18" t="s">
        <v>404</v>
      </c>
      <c r="H47" s="18" t="s">
        <v>405</v>
      </c>
      <c r="I47" s="18" t="s">
        <v>406</v>
      </c>
      <c r="J47" s="18" t="s">
        <v>407</v>
      </c>
      <c r="K47" s="18" t="s">
        <v>138</v>
      </c>
      <c r="L47" s="18"/>
      <c r="M47" s="18" t="s">
        <v>119</v>
      </c>
      <c r="N47" s="18"/>
      <c r="O47" s="18"/>
      <c r="P47" s="18"/>
      <c r="Q47" s="18"/>
      <c r="R47" s="18"/>
    </row>
    <row r="48" ht="30" customHeight="1" spans="1:18">
      <c r="A48" s="18" t="s">
        <v>408</v>
      </c>
      <c r="B48" s="18" t="s">
        <v>267</v>
      </c>
      <c r="C48" s="18" t="s">
        <v>268</v>
      </c>
      <c r="D48" s="18" t="s">
        <v>409</v>
      </c>
      <c r="E48" s="18" t="s">
        <v>113</v>
      </c>
      <c r="F48" s="18"/>
      <c r="G48" s="18" t="s">
        <v>410</v>
      </c>
      <c r="H48" s="18" t="s">
        <v>411</v>
      </c>
      <c r="I48" s="18" t="s">
        <v>412</v>
      </c>
      <c r="J48" s="18" t="s">
        <v>413</v>
      </c>
      <c r="K48" s="18" t="s">
        <v>138</v>
      </c>
      <c r="L48" s="18"/>
      <c r="M48" s="18" t="s">
        <v>119</v>
      </c>
      <c r="N48" s="18"/>
      <c r="O48" s="18"/>
      <c r="P48" s="18"/>
      <c r="Q48" s="18"/>
      <c r="R48" s="18"/>
    </row>
    <row r="49" ht="30" customHeight="1" spans="1:18">
      <c r="A49" s="18" t="s">
        <v>414</v>
      </c>
      <c r="B49" s="18" t="s">
        <v>267</v>
      </c>
      <c r="C49" s="18" t="s">
        <v>268</v>
      </c>
      <c r="D49" s="18" t="s">
        <v>415</v>
      </c>
      <c r="E49" s="18" t="s">
        <v>113</v>
      </c>
      <c r="F49" s="18"/>
      <c r="G49" s="18" t="s">
        <v>416</v>
      </c>
      <c r="H49" s="18" t="s">
        <v>417</v>
      </c>
      <c r="I49" s="18" t="s">
        <v>418</v>
      </c>
      <c r="J49" s="18" t="s">
        <v>419</v>
      </c>
      <c r="K49" s="18" t="s">
        <v>118</v>
      </c>
      <c r="L49" s="18"/>
      <c r="M49" s="18" t="s">
        <v>119</v>
      </c>
      <c r="N49" s="18"/>
      <c r="O49" s="18"/>
      <c r="P49" s="18"/>
      <c r="Q49" s="18"/>
      <c r="R49" s="18"/>
    </row>
    <row r="50" ht="30" customHeight="1" spans="1:18">
      <c r="A50" s="18" t="s">
        <v>420</v>
      </c>
      <c r="B50" s="18" t="s">
        <v>421</v>
      </c>
      <c r="C50" s="18" t="s">
        <v>422</v>
      </c>
      <c r="D50" s="18" t="s">
        <v>423</v>
      </c>
      <c r="E50" s="18" t="s">
        <v>113</v>
      </c>
      <c r="F50" s="18"/>
      <c r="G50" s="18" t="s">
        <v>424</v>
      </c>
      <c r="H50" s="18" t="s">
        <v>425</v>
      </c>
      <c r="I50" s="18" t="s">
        <v>426</v>
      </c>
      <c r="J50" s="18" t="s">
        <v>427</v>
      </c>
      <c r="K50" s="18" t="s">
        <v>118</v>
      </c>
      <c r="L50" s="18"/>
      <c r="M50" s="18" t="s">
        <v>119</v>
      </c>
      <c r="N50" s="18"/>
      <c r="O50" s="18"/>
      <c r="P50" s="18"/>
      <c r="Q50" s="18"/>
      <c r="R50" s="18"/>
    </row>
    <row r="51" ht="30" customHeight="1" spans="1:18">
      <c r="A51" s="18" t="s">
        <v>428</v>
      </c>
      <c r="B51" s="18" t="s">
        <v>421</v>
      </c>
      <c r="C51" s="18" t="s">
        <v>422</v>
      </c>
      <c r="D51" s="18" t="s">
        <v>429</v>
      </c>
      <c r="E51" s="18" t="s">
        <v>113</v>
      </c>
      <c r="F51" s="18"/>
      <c r="G51" s="18" t="s">
        <v>430</v>
      </c>
      <c r="H51" s="18" t="s">
        <v>431</v>
      </c>
      <c r="I51" s="18" t="s">
        <v>432</v>
      </c>
      <c r="J51" s="18" t="s">
        <v>433</v>
      </c>
      <c r="K51" s="18" t="s">
        <v>118</v>
      </c>
      <c r="L51" s="18"/>
      <c r="M51" s="18" t="s">
        <v>119</v>
      </c>
      <c r="N51" s="18"/>
      <c r="O51" s="18"/>
      <c r="P51" s="18"/>
      <c r="Q51" s="18"/>
      <c r="R51" s="18"/>
    </row>
    <row r="52" ht="30" customHeight="1" spans="1:18">
      <c r="A52" s="18" t="s">
        <v>434</v>
      </c>
      <c r="B52" s="18" t="s">
        <v>421</v>
      </c>
      <c r="C52" s="18" t="s">
        <v>422</v>
      </c>
      <c r="D52" s="18" t="s">
        <v>435</v>
      </c>
      <c r="E52" s="18" t="s">
        <v>436</v>
      </c>
      <c r="F52" s="18"/>
      <c r="G52" s="18" t="s">
        <v>437</v>
      </c>
      <c r="H52" s="18" t="s">
        <v>438</v>
      </c>
      <c r="I52" s="18" t="s">
        <v>439</v>
      </c>
      <c r="J52" s="18" t="s">
        <v>440</v>
      </c>
      <c r="K52" s="18" t="s">
        <v>118</v>
      </c>
      <c r="L52" s="18"/>
      <c r="M52" s="18" t="s">
        <v>119</v>
      </c>
      <c r="N52" s="18"/>
      <c r="O52" s="18"/>
      <c r="P52" s="18"/>
      <c r="Q52" s="18"/>
      <c r="R52" s="18"/>
    </row>
    <row r="53" ht="30" customHeight="1" spans="1:18">
      <c r="A53" s="18" t="s">
        <v>441</v>
      </c>
      <c r="B53" s="18" t="s">
        <v>421</v>
      </c>
      <c r="C53" s="18" t="s">
        <v>422</v>
      </c>
      <c r="D53" s="18" t="s">
        <v>442</v>
      </c>
      <c r="E53" s="18" t="s">
        <v>113</v>
      </c>
      <c r="F53" s="18"/>
      <c r="G53" s="18" t="s">
        <v>443</v>
      </c>
      <c r="H53" s="18" t="s">
        <v>444</v>
      </c>
      <c r="I53" s="18" t="s">
        <v>445</v>
      </c>
      <c r="J53" s="18" t="s">
        <v>446</v>
      </c>
      <c r="K53" s="18" t="s">
        <v>118</v>
      </c>
      <c r="L53" s="18"/>
      <c r="M53" s="18" t="s">
        <v>119</v>
      </c>
      <c r="N53" s="18"/>
      <c r="O53" s="18"/>
      <c r="P53" s="18"/>
      <c r="Q53" s="18"/>
      <c r="R53" s="18"/>
    </row>
    <row r="54" ht="30" customHeight="1" spans="1:18">
      <c r="A54" s="18" t="s">
        <v>447</v>
      </c>
      <c r="B54" s="18" t="s">
        <v>421</v>
      </c>
      <c r="C54" s="18" t="s">
        <v>422</v>
      </c>
      <c r="D54" s="18" t="s">
        <v>448</v>
      </c>
      <c r="E54" s="18" t="s">
        <v>113</v>
      </c>
      <c r="F54" s="18"/>
      <c r="G54" s="18" t="s">
        <v>449</v>
      </c>
      <c r="H54" s="18" t="s">
        <v>450</v>
      </c>
      <c r="I54" s="18" t="s">
        <v>445</v>
      </c>
      <c r="J54" s="18" t="s">
        <v>451</v>
      </c>
      <c r="K54" s="18" t="s">
        <v>118</v>
      </c>
      <c r="L54" s="18"/>
      <c r="M54" s="18" t="s">
        <v>119</v>
      </c>
      <c r="N54" s="18"/>
      <c r="O54" s="18"/>
      <c r="P54" s="18"/>
      <c r="Q54" s="18"/>
      <c r="R54" s="18"/>
    </row>
    <row r="55" ht="30" customHeight="1" spans="1:18">
      <c r="A55" s="18" t="s">
        <v>452</v>
      </c>
      <c r="B55" s="18" t="s">
        <v>421</v>
      </c>
      <c r="C55" s="18" t="s">
        <v>422</v>
      </c>
      <c r="D55" s="18" t="s">
        <v>453</v>
      </c>
      <c r="E55" s="18" t="s">
        <v>113</v>
      </c>
      <c r="F55" s="18"/>
      <c r="G55" s="18" t="s">
        <v>454</v>
      </c>
      <c r="H55" s="18" t="s">
        <v>455</v>
      </c>
      <c r="I55" s="18" t="s">
        <v>456</v>
      </c>
      <c r="J55" s="18" t="s">
        <v>457</v>
      </c>
      <c r="K55" s="18" t="s">
        <v>138</v>
      </c>
      <c r="L55" s="18"/>
      <c r="M55" s="18" t="s">
        <v>119</v>
      </c>
      <c r="N55" s="18"/>
      <c r="O55" s="18"/>
      <c r="P55" s="18"/>
      <c r="Q55" s="18"/>
      <c r="R55" s="18"/>
    </row>
    <row r="56" ht="30" customHeight="1" spans="1:18">
      <c r="A56" s="18" t="s">
        <v>458</v>
      </c>
      <c r="B56" s="18" t="s">
        <v>421</v>
      </c>
      <c r="C56" s="18" t="s">
        <v>422</v>
      </c>
      <c r="D56" s="18" t="s">
        <v>459</v>
      </c>
      <c r="E56" s="18" t="s">
        <v>113</v>
      </c>
      <c r="F56" s="18"/>
      <c r="G56" s="18" t="s">
        <v>460</v>
      </c>
      <c r="H56" s="18" t="s">
        <v>461</v>
      </c>
      <c r="I56" s="18" t="s">
        <v>456</v>
      </c>
      <c r="J56" s="18" t="s">
        <v>462</v>
      </c>
      <c r="K56" s="18" t="s">
        <v>118</v>
      </c>
      <c r="L56" s="18"/>
      <c r="M56" s="18" t="s">
        <v>119</v>
      </c>
      <c r="N56" s="18"/>
      <c r="O56" s="18"/>
      <c r="P56" s="18"/>
      <c r="Q56" s="18"/>
      <c r="R56" s="18"/>
    </row>
    <row r="57" ht="30" customHeight="1" spans="1:18">
      <c r="A57" s="18" t="s">
        <v>463</v>
      </c>
      <c r="B57" s="18" t="s">
        <v>421</v>
      </c>
      <c r="C57" s="18" t="s">
        <v>422</v>
      </c>
      <c r="D57" s="18" t="s">
        <v>464</v>
      </c>
      <c r="E57" s="18" t="s">
        <v>113</v>
      </c>
      <c r="F57" s="18"/>
      <c r="G57" s="18" t="s">
        <v>465</v>
      </c>
      <c r="H57" s="18" t="s">
        <v>466</v>
      </c>
      <c r="I57" s="18" t="s">
        <v>456</v>
      </c>
      <c r="J57" s="18" t="s">
        <v>467</v>
      </c>
      <c r="K57" s="18" t="s">
        <v>138</v>
      </c>
      <c r="L57" s="18"/>
      <c r="M57" s="18" t="s">
        <v>119</v>
      </c>
      <c r="N57" s="18"/>
      <c r="O57" s="18"/>
      <c r="P57" s="18"/>
      <c r="Q57" s="18"/>
      <c r="R57" s="18"/>
    </row>
    <row r="58" ht="30" customHeight="1" spans="1:18">
      <c r="A58" s="18" t="s">
        <v>468</v>
      </c>
      <c r="B58" s="18" t="s">
        <v>421</v>
      </c>
      <c r="C58" s="18" t="s">
        <v>422</v>
      </c>
      <c r="D58" s="18" t="s">
        <v>469</v>
      </c>
      <c r="E58" s="18" t="s">
        <v>113</v>
      </c>
      <c r="F58" s="18"/>
      <c r="G58" s="18" t="s">
        <v>470</v>
      </c>
      <c r="H58" s="18" t="s">
        <v>471</v>
      </c>
      <c r="I58" s="18" t="s">
        <v>456</v>
      </c>
      <c r="J58" s="18" t="s">
        <v>472</v>
      </c>
      <c r="K58" s="18" t="s">
        <v>349</v>
      </c>
      <c r="L58" s="18"/>
      <c r="M58" s="18" t="s">
        <v>119</v>
      </c>
      <c r="N58" s="18"/>
      <c r="O58" s="18"/>
      <c r="P58" s="18"/>
      <c r="Q58" s="18"/>
      <c r="R58" s="18"/>
    </row>
    <row r="59" ht="30" customHeight="1" spans="1:18">
      <c r="A59" s="18" t="s">
        <v>473</v>
      </c>
      <c r="B59" s="18" t="s">
        <v>421</v>
      </c>
      <c r="C59" s="18" t="s">
        <v>422</v>
      </c>
      <c r="D59" s="18" t="s">
        <v>474</v>
      </c>
      <c r="E59" s="18" t="s">
        <v>113</v>
      </c>
      <c r="F59" s="18"/>
      <c r="G59" s="18" t="s">
        <v>475</v>
      </c>
      <c r="H59" s="18" t="s">
        <v>476</v>
      </c>
      <c r="I59" s="18" t="s">
        <v>477</v>
      </c>
      <c r="J59" s="18" t="s">
        <v>478</v>
      </c>
      <c r="K59" s="18" t="s">
        <v>349</v>
      </c>
      <c r="L59" s="18"/>
      <c r="M59" s="18" t="s">
        <v>119</v>
      </c>
      <c r="N59" s="18"/>
      <c r="O59" s="18"/>
      <c r="P59" s="18"/>
      <c r="Q59" s="18"/>
      <c r="R59" s="18"/>
    </row>
    <row r="60" ht="30" customHeight="1" spans="1:18">
      <c r="A60" s="18" t="s">
        <v>479</v>
      </c>
      <c r="B60" s="18" t="s">
        <v>421</v>
      </c>
      <c r="C60" s="18" t="s">
        <v>422</v>
      </c>
      <c r="D60" s="18" t="s">
        <v>480</v>
      </c>
      <c r="E60" s="18" t="s">
        <v>113</v>
      </c>
      <c r="F60" s="18"/>
      <c r="G60" s="18" t="s">
        <v>481</v>
      </c>
      <c r="H60" s="18" t="s">
        <v>482</v>
      </c>
      <c r="I60" s="18" t="s">
        <v>483</v>
      </c>
      <c r="J60" s="18" t="s">
        <v>484</v>
      </c>
      <c r="K60" s="18" t="s">
        <v>349</v>
      </c>
      <c r="L60" s="18"/>
      <c r="M60" s="18" t="s">
        <v>119</v>
      </c>
      <c r="N60" s="18"/>
      <c r="O60" s="18"/>
      <c r="P60" s="18"/>
      <c r="Q60" s="18"/>
      <c r="R60" s="18"/>
    </row>
    <row r="61" ht="30" customHeight="1" spans="1:18">
      <c r="A61" s="18" t="s">
        <v>485</v>
      </c>
      <c r="B61" s="18" t="s">
        <v>421</v>
      </c>
      <c r="C61" s="18" t="s">
        <v>422</v>
      </c>
      <c r="D61" s="18" t="s">
        <v>486</v>
      </c>
      <c r="E61" s="18" t="s">
        <v>487</v>
      </c>
      <c r="F61" s="18"/>
      <c r="G61" s="18" t="s">
        <v>488</v>
      </c>
      <c r="H61" s="18" t="s">
        <v>489</v>
      </c>
      <c r="I61" s="18" t="s">
        <v>483</v>
      </c>
      <c r="J61" s="18" t="s">
        <v>490</v>
      </c>
      <c r="K61" s="18" t="s">
        <v>138</v>
      </c>
      <c r="L61" s="18"/>
      <c r="M61" s="18" t="s">
        <v>119</v>
      </c>
      <c r="N61" s="18"/>
      <c r="O61" s="18"/>
      <c r="P61" s="18"/>
      <c r="Q61" s="18"/>
      <c r="R61" s="18"/>
    </row>
    <row r="62" ht="30" customHeight="1" spans="1:18">
      <c r="A62" s="18" t="s">
        <v>491</v>
      </c>
      <c r="B62" s="18" t="s">
        <v>421</v>
      </c>
      <c r="C62" s="18" t="s">
        <v>422</v>
      </c>
      <c r="D62" s="18" t="s">
        <v>492</v>
      </c>
      <c r="E62" s="18" t="s">
        <v>113</v>
      </c>
      <c r="F62" s="18"/>
      <c r="G62" s="18" t="s">
        <v>493</v>
      </c>
      <c r="H62" s="18" t="s">
        <v>494</v>
      </c>
      <c r="I62" s="18" t="s">
        <v>483</v>
      </c>
      <c r="J62" s="18" t="s">
        <v>495</v>
      </c>
      <c r="K62" s="18" t="s">
        <v>138</v>
      </c>
      <c r="L62" s="18"/>
      <c r="M62" s="18" t="s">
        <v>119</v>
      </c>
      <c r="N62" s="18"/>
      <c r="O62" s="18"/>
      <c r="P62" s="18"/>
      <c r="Q62" s="18"/>
      <c r="R62" s="18"/>
    </row>
    <row r="63" ht="30" customHeight="1" spans="1:18">
      <c r="A63" s="18" t="s">
        <v>496</v>
      </c>
      <c r="B63" s="18" t="s">
        <v>421</v>
      </c>
      <c r="C63" s="18" t="s">
        <v>422</v>
      </c>
      <c r="D63" s="18" t="s">
        <v>497</v>
      </c>
      <c r="E63" s="18" t="s">
        <v>113</v>
      </c>
      <c r="F63" s="18"/>
      <c r="G63" s="18" t="s">
        <v>498</v>
      </c>
      <c r="H63" s="18" t="s">
        <v>499</v>
      </c>
      <c r="I63" s="18" t="s">
        <v>500</v>
      </c>
      <c r="J63" s="18" t="s">
        <v>501</v>
      </c>
      <c r="K63" s="18" t="s">
        <v>118</v>
      </c>
      <c r="L63" s="18"/>
      <c r="M63" s="18" t="s">
        <v>119</v>
      </c>
      <c r="N63" s="18"/>
      <c r="O63" s="18"/>
      <c r="P63" s="18"/>
      <c r="Q63" s="18"/>
      <c r="R63" s="18"/>
    </row>
    <row r="64" ht="30" customHeight="1" spans="1:18">
      <c r="A64" s="18" t="s">
        <v>502</v>
      </c>
      <c r="B64" s="18" t="s">
        <v>503</v>
      </c>
      <c r="C64" s="18" t="s">
        <v>504</v>
      </c>
      <c r="D64" s="18" t="s">
        <v>505</v>
      </c>
      <c r="E64" s="18" t="s">
        <v>113</v>
      </c>
      <c r="F64" s="18"/>
      <c r="G64" s="18" t="s">
        <v>506</v>
      </c>
      <c r="H64" s="18" t="s">
        <v>507</v>
      </c>
      <c r="I64" s="18" t="s">
        <v>456</v>
      </c>
      <c r="J64" s="18" t="s">
        <v>508</v>
      </c>
      <c r="K64" s="18" t="s">
        <v>118</v>
      </c>
      <c r="L64" s="18"/>
      <c r="M64" s="18" t="s">
        <v>119</v>
      </c>
      <c r="N64" s="18"/>
      <c r="O64" s="18"/>
      <c r="P64" s="18"/>
      <c r="Q64" s="18"/>
      <c r="R64" s="18"/>
    </row>
    <row r="65" ht="30" customHeight="1" spans="1:18">
      <c r="A65" s="18" t="s">
        <v>509</v>
      </c>
      <c r="B65" s="18" t="s">
        <v>503</v>
      </c>
      <c r="C65" s="18" t="s">
        <v>504</v>
      </c>
      <c r="D65" s="18" t="s">
        <v>510</v>
      </c>
      <c r="E65" s="18" t="s">
        <v>113</v>
      </c>
      <c r="F65" s="18"/>
      <c r="G65" s="18" t="s">
        <v>511</v>
      </c>
      <c r="H65" s="18" t="s">
        <v>512</v>
      </c>
      <c r="I65" s="18" t="s">
        <v>477</v>
      </c>
      <c r="J65" s="18" t="s">
        <v>513</v>
      </c>
      <c r="K65" s="18" t="s">
        <v>118</v>
      </c>
      <c r="L65" s="18"/>
      <c r="M65" s="18" t="s">
        <v>119</v>
      </c>
      <c r="N65" s="18"/>
      <c r="O65" s="18"/>
      <c r="P65" s="18"/>
      <c r="Q65" s="18"/>
      <c r="R65" s="18"/>
    </row>
    <row r="66" ht="30" customHeight="1" spans="1:18">
      <c r="A66" s="18" t="s">
        <v>514</v>
      </c>
      <c r="B66" s="18" t="s">
        <v>503</v>
      </c>
      <c r="C66" s="18" t="s">
        <v>504</v>
      </c>
      <c r="D66" s="18" t="s">
        <v>515</v>
      </c>
      <c r="E66" s="18" t="s">
        <v>113</v>
      </c>
      <c r="F66" s="18"/>
      <c r="G66" s="18" t="s">
        <v>516</v>
      </c>
      <c r="H66" s="18" t="s">
        <v>517</v>
      </c>
      <c r="I66" s="18" t="s">
        <v>518</v>
      </c>
      <c r="J66" s="18" t="s">
        <v>519</v>
      </c>
      <c r="K66" s="18" t="s">
        <v>207</v>
      </c>
      <c r="L66" s="18"/>
      <c r="M66" s="18" t="s">
        <v>119</v>
      </c>
      <c r="N66" s="18"/>
      <c r="O66" s="18"/>
      <c r="P66" s="18"/>
      <c r="Q66" s="18"/>
      <c r="R66" s="18"/>
    </row>
    <row r="67" ht="30" customHeight="1" spans="1:18">
      <c r="A67" s="18" t="s">
        <v>520</v>
      </c>
      <c r="B67" s="18" t="s">
        <v>503</v>
      </c>
      <c r="C67" s="18" t="s">
        <v>504</v>
      </c>
      <c r="D67" s="18" t="s">
        <v>521</v>
      </c>
      <c r="E67" s="18" t="s">
        <v>113</v>
      </c>
      <c r="F67" s="18"/>
      <c r="G67" s="18" t="s">
        <v>522</v>
      </c>
      <c r="H67" s="18" t="s">
        <v>523</v>
      </c>
      <c r="I67" s="18" t="s">
        <v>524</v>
      </c>
      <c r="J67" s="18" t="s">
        <v>525</v>
      </c>
      <c r="K67" s="18" t="s">
        <v>207</v>
      </c>
      <c r="L67" s="18"/>
      <c r="M67" s="18" t="s">
        <v>119</v>
      </c>
      <c r="N67" s="18"/>
      <c r="O67" s="18"/>
      <c r="P67" s="18"/>
      <c r="Q67" s="18"/>
      <c r="R67" s="18"/>
    </row>
    <row r="68" ht="30" customHeight="1" spans="1:18">
      <c r="A68" s="18" t="s">
        <v>526</v>
      </c>
      <c r="B68" s="18" t="s">
        <v>503</v>
      </c>
      <c r="C68" s="18" t="s">
        <v>504</v>
      </c>
      <c r="D68" s="18" t="s">
        <v>527</v>
      </c>
      <c r="E68" s="18" t="s">
        <v>113</v>
      </c>
      <c r="F68" s="18"/>
      <c r="G68" s="18" t="s">
        <v>528</v>
      </c>
      <c r="H68" s="18" t="s">
        <v>529</v>
      </c>
      <c r="I68" s="18" t="s">
        <v>530</v>
      </c>
      <c r="J68" s="18" t="s">
        <v>531</v>
      </c>
      <c r="K68" s="18" t="s">
        <v>118</v>
      </c>
      <c r="L68" s="18"/>
      <c r="M68" s="18" t="s">
        <v>119</v>
      </c>
      <c r="N68" s="18"/>
      <c r="O68" s="18"/>
      <c r="P68" s="18"/>
      <c r="Q68" s="18"/>
      <c r="R68" s="18"/>
    </row>
    <row r="69" ht="30" customHeight="1" spans="1:18">
      <c r="A69" s="18" t="s">
        <v>532</v>
      </c>
      <c r="B69" s="18" t="s">
        <v>503</v>
      </c>
      <c r="C69" s="18" t="s">
        <v>504</v>
      </c>
      <c r="D69" s="18" t="s">
        <v>533</v>
      </c>
      <c r="E69" s="18" t="s">
        <v>534</v>
      </c>
      <c r="F69" s="18"/>
      <c r="G69" s="18" t="s">
        <v>535</v>
      </c>
      <c r="H69" s="18" t="s">
        <v>536</v>
      </c>
      <c r="I69" s="18" t="s">
        <v>537</v>
      </c>
      <c r="J69" s="18" t="s">
        <v>538</v>
      </c>
      <c r="K69" s="18" t="s">
        <v>118</v>
      </c>
      <c r="L69" s="18"/>
      <c r="M69" s="18" t="s">
        <v>119</v>
      </c>
      <c r="N69" s="18"/>
      <c r="O69" s="18"/>
      <c r="P69" s="18"/>
      <c r="Q69" s="18"/>
      <c r="R69" s="18"/>
    </row>
    <row r="70" ht="30" customHeight="1" spans="1:18">
      <c r="A70" s="18" t="s">
        <v>539</v>
      </c>
      <c r="B70" s="18" t="s">
        <v>503</v>
      </c>
      <c r="C70" s="18" t="s">
        <v>504</v>
      </c>
      <c r="D70" s="18" t="s">
        <v>540</v>
      </c>
      <c r="E70" s="18" t="s">
        <v>113</v>
      </c>
      <c r="F70" s="18"/>
      <c r="G70" s="18" t="s">
        <v>541</v>
      </c>
      <c r="H70" s="18" t="s">
        <v>542</v>
      </c>
      <c r="I70" s="18" t="s">
        <v>543</v>
      </c>
      <c r="J70" s="18" t="s">
        <v>544</v>
      </c>
      <c r="K70" s="18" t="s">
        <v>118</v>
      </c>
      <c r="L70" s="18"/>
      <c r="M70" s="18" t="s">
        <v>119</v>
      </c>
      <c r="N70" s="18"/>
      <c r="O70" s="18"/>
      <c r="P70" s="18"/>
      <c r="Q70" s="18"/>
      <c r="R70" s="18"/>
    </row>
    <row r="71" ht="30" customHeight="1" spans="1:18">
      <c r="A71" s="18" t="s">
        <v>545</v>
      </c>
      <c r="B71" s="18" t="s">
        <v>503</v>
      </c>
      <c r="C71" s="18" t="s">
        <v>504</v>
      </c>
      <c r="D71" s="18" t="s">
        <v>546</v>
      </c>
      <c r="E71" s="18" t="s">
        <v>113</v>
      </c>
      <c r="F71" s="18"/>
      <c r="G71" s="18" t="s">
        <v>547</v>
      </c>
      <c r="H71" s="18" t="s">
        <v>548</v>
      </c>
      <c r="I71" s="18" t="s">
        <v>549</v>
      </c>
      <c r="J71" s="18" t="s">
        <v>550</v>
      </c>
      <c r="K71" s="18" t="s">
        <v>118</v>
      </c>
      <c r="L71" s="18"/>
      <c r="M71" s="18" t="s">
        <v>119</v>
      </c>
      <c r="N71" s="18"/>
      <c r="O71" s="18"/>
      <c r="P71" s="18"/>
      <c r="Q71" s="18"/>
      <c r="R71" s="18"/>
    </row>
    <row r="72" ht="30" customHeight="1" spans="1:18">
      <c r="A72" s="18" t="s">
        <v>551</v>
      </c>
      <c r="B72" s="18" t="s">
        <v>552</v>
      </c>
      <c r="C72" s="18" t="s">
        <v>504</v>
      </c>
      <c r="D72" s="18" t="s">
        <v>553</v>
      </c>
      <c r="E72" s="18" t="s">
        <v>554</v>
      </c>
      <c r="F72" s="18"/>
      <c r="G72" s="18" t="s">
        <v>555</v>
      </c>
      <c r="H72" s="18" t="s">
        <v>556</v>
      </c>
      <c r="I72" s="18" t="s">
        <v>557</v>
      </c>
      <c r="J72" s="18" t="s">
        <v>558</v>
      </c>
      <c r="K72" s="18" t="s">
        <v>310</v>
      </c>
      <c r="L72" s="18"/>
      <c r="M72" s="18" t="s">
        <v>119</v>
      </c>
      <c r="N72" s="18"/>
      <c r="O72" s="18"/>
      <c r="P72" s="18"/>
      <c r="Q72" s="18"/>
      <c r="R72" s="18"/>
    </row>
    <row r="73" ht="30" customHeight="1" spans="1:18">
      <c r="A73" s="18" t="s">
        <v>559</v>
      </c>
      <c r="B73" s="18" t="s">
        <v>552</v>
      </c>
      <c r="C73" s="18" t="s">
        <v>504</v>
      </c>
      <c r="D73" s="18" t="s">
        <v>560</v>
      </c>
      <c r="E73" s="18" t="s">
        <v>561</v>
      </c>
      <c r="F73" s="18"/>
      <c r="G73" s="18" t="s">
        <v>562</v>
      </c>
      <c r="H73" s="18" t="s">
        <v>563</v>
      </c>
      <c r="I73" s="18" t="s">
        <v>564</v>
      </c>
      <c r="J73" s="18" t="s">
        <v>565</v>
      </c>
      <c r="K73" s="18" t="s">
        <v>310</v>
      </c>
      <c r="L73" s="18"/>
      <c r="M73" s="18" t="s">
        <v>119</v>
      </c>
      <c r="N73" s="18"/>
      <c r="O73" s="18"/>
      <c r="P73" s="18"/>
      <c r="Q73" s="18"/>
      <c r="R73" s="18"/>
    </row>
    <row r="74" ht="30" customHeight="1" spans="1:18">
      <c r="A74" s="18" t="s">
        <v>566</v>
      </c>
      <c r="B74" s="18" t="s">
        <v>503</v>
      </c>
      <c r="C74" s="18" t="s">
        <v>504</v>
      </c>
      <c r="D74" s="18" t="s">
        <v>567</v>
      </c>
      <c r="E74" s="18" t="s">
        <v>113</v>
      </c>
      <c r="F74" s="18"/>
      <c r="G74" s="18" t="s">
        <v>568</v>
      </c>
      <c r="H74" s="18" t="s">
        <v>569</v>
      </c>
      <c r="I74" s="18" t="s">
        <v>570</v>
      </c>
      <c r="J74" s="18" t="s">
        <v>571</v>
      </c>
      <c r="K74" s="18" t="s">
        <v>138</v>
      </c>
      <c r="L74" s="18"/>
      <c r="M74" s="18" t="s">
        <v>119</v>
      </c>
      <c r="N74" s="18"/>
      <c r="O74" s="18"/>
      <c r="P74" s="18"/>
      <c r="Q74" s="18"/>
      <c r="R74" s="18"/>
    </row>
    <row r="75" ht="30" customHeight="1" spans="1:18">
      <c r="A75" s="18" t="s">
        <v>572</v>
      </c>
      <c r="B75" s="18" t="s">
        <v>552</v>
      </c>
      <c r="C75" s="18" t="s">
        <v>504</v>
      </c>
      <c r="D75" s="18" t="s">
        <v>573</v>
      </c>
      <c r="E75" s="18" t="s">
        <v>113</v>
      </c>
      <c r="F75" s="18"/>
      <c r="G75" s="18" t="s">
        <v>574</v>
      </c>
      <c r="H75" s="18" t="s">
        <v>575</v>
      </c>
      <c r="I75" s="18" t="s">
        <v>576</v>
      </c>
      <c r="J75" s="18" t="s">
        <v>577</v>
      </c>
      <c r="K75" s="18" t="s">
        <v>310</v>
      </c>
      <c r="L75" s="18"/>
      <c r="M75" s="18" t="s">
        <v>119</v>
      </c>
      <c r="N75" s="18"/>
      <c r="O75" s="18"/>
      <c r="P75" s="18"/>
      <c r="Q75" s="18"/>
      <c r="R75" s="18"/>
    </row>
    <row r="76" ht="30" customHeight="1" spans="1:18">
      <c r="A76" s="18" t="s">
        <v>578</v>
      </c>
      <c r="B76" s="18" t="s">
        <v>503</v>
      </c>
      <c r="C76" s="18" t="s">
        <v>504</v>
      </c>
      <c r="D76" s="18" t="s">
        <v>579</v>
      </c>
      <c r="E76" s="18" t="s">
        <v>580</v>
      </c>
      <c r="F76" s="18"/>
      <c r="G76" s="18" t="s">
        <v>581</v>
      </c>
      <c r="H76" s="18" t="s">
        <v>582</v>
      </c>
      <c r="I76" s="18" t="s">
        <v>583</v>
      </c>
      <c r="J76" s="18" t="s">
        <v>584</v>
      </c>
      <c r="K76" s="18" t="s">
        <v>138</v>
      </c>
      <c r="L76" s="18"/>
      <c r="M76" s="18" t="s">
        <v>119</v>
      </c>
      <c r="N76" s="18"/>
      <c r="O76" s="18"/>
      <c r="P76" s="18"/>
      <c r="Q76" s="18"/>
      <c r="R76" s="18"/>
    </row>
    <row r="77" ht="30" customHeight="1" spans="1:18">
      <c r="A77" s="18" t="s">
        <v>585</v>
      </c>
      <c r="B77" s="18" t="s">
        <v>552</v>
      </c>
      <c r="C77" s="18" t="s">
        <v>504</v>
      </c>
      <c r="D77" s="18" t="s">
        <v>586</v>
      </c>
      <c r="E77" s="18" t="s">
        <v>113</v>
      </c>
      <c r="F77" s="18"/>
      <c r="G77" s="18" t="s">
        <v>587</v>
      </c>
      <c r="H77" s="18" t="s">
        <v>588</v>
      </c>
      <c r="I77" s="18" t="s">
        <v>477</v>
      </c>
      <c r="J77" s="18" t="s">
        <v>589</v>
      </c>
      <c r="K77" s="18" t="s">
        <v>138</v>
      </c>
      <c r="L77" s="18"/>
      <c r="M77" s="18" t="s">
        <v>119</v>
      </c>
      <c r="N77" s="18"/>
      <c r="O77" s="18"/>
      <c r="P77" s="18"/>
      <c r="Q77" s="18"/>
      <c r="R77" s="18"/>
    </row>
    <row r="78" ht="30" customHeight="1" spans="1:18">
      <c r="A78" s="18" t="s">
        <v>590</v>
      </c>
      <c r="B78" s="18" t="s">
        <v>267</v>
      </c>
      <c r="C78" s="18" t="s">
        <v>591</v>
      </c>
      <c r="D78" s="18" t="s">
        <v>592</v>
      </c>
      <c r="E78" s="18" t="s">
        <v>113</v>
      </c>
      <c r="F78" s="18"/>
      <c r="G78" s="18" t="s">
        <v>593</v>
      </c>
      <c r="H78" s="18" t="s">
        <v>594</v>
      </c>
      <c r="I78" s="18" t="s">
        <v>595</v>
      </c>
      <c r="J78" s="18" t="s">
        <v>596</v>
      </c>
      <c r="K78" s="18" t="s">
        <v>118</v>
      </c>
      <c r="L78" s="18"/>
      <c r="M78" s="18" t="s">
        <v>119</v>
      </c>
      <c r="N78" s="18"/>
      <c r="O78" s="18"/>
      <c r="P78" s="18"/>
      <c r="Q78" s="18"/>
      <c r="R78" s="18"/>
    </row>
    <row r="79" ht="30" customHeight="1" spans="1:18">
      <c r="A79" s="18" t="s">
        <v>597</v>
      </c>
      <c r="B79" s="18" t="s">
        <v>267</v>
      </c>
      <c r="C79" s="18" t="s">
        <v>591</v>
      </c>
      <c r="D79" s="18" t="s">
        <v>598</v>
      </c>
      <c r="E79" s="18" t="s">
        <v>113</v>
      </c>
      <c r="F79" s="18"/>
      <c r="G79" s="18" t="s">
        <v>599</v>
      </c>
      <c r="H79" s="18" t="s">
        <v>600</v>
      </c>
      <c r="I79" s="18" t="s">
        <v>601</v>
      </c>
      <c r="J79" s="18" t="s">
        <v>602</v>
      </c>
      <c r="K79" s="18" t="s">
        <v>138</v>
      </c>
      <c r="L79" s="18"/>
      <c r="M79" s="18" t="s">
        <v>119</v>
      </c>
      <c r="N79" s="18"/>
      <c r="O79" s="18"/>
      <c r="P79" s="18"/>
      <c r="Q79" s="18"/>
      <c r="R79" s="18"/>
    </row>
    <row r="80" ht="30" customHeight="1" spans="1:18">
      <c r="A80" s="18" t="s">
        <v>603</v>
      </c>
      <c r="B80" s="18" t="s">
        <v>267</v>
      </c>
      <c r="C80" s="18" t="s">
        <v>591</v>
      </c>
      <c r="D80" s="18" t="s">
        <v>604</v>
      </c>
      <c r="E80" s="18" t="s">
        <v>113</v>
      </c>
      <c r="F80" s="18"/>
      <c r="G80" s="18" t="s">
        <v>605</v>
      </c>
      <c r="H80" s="18" t="s">
        <v>606</v>
      </c>
      <c r="I80" s="18" t="s">
        <v>607</v>
      </c>
      <c r="J80" s="18" t="s">
        <v>608</v>
      </c>
      <c r="K80" s="18" t="s">
        <v>118</v>
      </c>
      <c r="L80" s="18"/>
      <c r="M80" s="18" t="s">
        <v>119</v>
      </c>
      <c r="N80" s="18"/>
      <c r="O80" s="18"/>
      <c r="P80" s="18"/>
      <c r="Q80" s="18"/>
      <c r="R80" s="18"/>
    </row>
    <row r="81" ht="30" customHeight="1" spans="1:18">
      <c r="A81" s="18" t="s">
        <v>609</v>
      </c>
      <c r="B81" s="18" t="s">
        <v>267</v>
      </c>
      <c r="C81" s="18" t="s">
        <v>591</v>
      </c>
      <c r="D81" s="18" t="s">
        <v>610</v>
      </c>
      <c r="E81" s="18" t="s">
        <v>113</v>
      </c>
      <c r="F81" s="18"/>
      <c r="G81" s="18" t="s">
        <v>611</v>
      </c>
      <c r="H81" s="18" t="s">
        <v>612</v>
      </c>
      <c r="I81" s="18" t="s">
        <v>613</v>
      </c>
      <c r="J81" s="18" t="s">
        <v>614</v>
      </c>
      <c r="K81" s="18" t="s">
        <v>138</v>
      </c>
      <c r="L81" s="18"/>
      <c r="M81" s="18" t="s">
        <v>119</v>
      </c>
      <c r="N81" s="18"/>
      <c r="O81" s="18"/>
      <c r="P81" s="18"/>
      <c r="Q81" s="18"/>
      <c r="R81" s="18"/>
    </row>
    <row r="82" ht="30" customHeight="1" spans="1:18">
      <c r="A82" s="18" t="s">
        <v>615</v>
      </c>
      <c r="B82" s="18" t="s">
        <v>267</v>
      </c>
      <c r="C82" s="18" t="s">
        <v>591</v>
      </c>
      <c r="D82" s="18" t="s">
        <v>616</v>
      </c>
      <c r="E82" s="18" t="s">
        <v>113</v>
      </c>
      <c r="F82" s="18"/>
      <c r="G82" s="18" t="s">
        <v>617</v>
      </c>
      <c r="H82" s="18" t="s">
        <v>618</v>
      </c>
      <c r="I82" s="18" t="s">
        <v>619</v>
      </c>
      <c r="J82" s="18" t="s">
        <v>620</v>
      </c>
      <c r="K82" s="18" t="s">
        <v>138</v>
      </c>
      <c r="L82" s="18"/>
      <c r="M82" s="18" t="s">
        <v>119</v>
      </c>
      <c r="N82" s="18"/>
      <c r="O82" s="18"/>
      <c r="P82" s="18"/>
      <c r="Q82" s="18"/>
      <c r="R82" s="18"/>
    </row>
    <row r="83" ht="30" customHeight="1" spans="1:18">
      <c r="A83" s="18" t="s">
        <v>621</v>
      </c>
      <c r="B83" s="18" t="s">
        <v>267</v>
      </c>
      <c r="C83" s="18" t="s">
        <v>591</v>
      </c>
      <c r="D83" s="18" t="s">
        <v>622</v>
      </c>
      <c r="E83" s="18" t="s">
        <v>113</v>
      </c>
      <c r="F83" s="18"/>
      <c r="G83" s="18" t="s">
        <v>623</v>
      </c>
      <c r="H83" s="18" t="s">
        <v>624</v>
      </c>
      <c r="I83" s="18" t="s">
        <v>625</v>
      </c>
      <c r="J83" s="18" t="s">
        <v>626</v>
      </c>
      <c r="K83" s="18" t="s">
        <v>138</v>
      </c>
      <c r="L83" s="18"/>
      <c r="M83" s="18" t="s">
        <v>119</v>
      </c>
      <c r="N83" s="18"/>
      <c r="O83" s="18"/>
      <c r="P83" s="18"/>
      <c r="Q83" s="18"/>
      <c r="R83" s="18"/>
    </row>
    <row r="84" ht="30" customHeight="1" spans="1:18">
      <c r="A84" s="18" t="s">
        <v>627</v>
      </c>
      <c r="B84" s="18" t="s">
        <v>267</v>
      </c>
      <c r="C84" s="18" t="s">
        <v>591</v>
      </c>
      <c r="D84" s="18" t="s">
        <v>628</v>
      </c>
      <c r="E84" s="18" t="s">
        <v>629</v>
      </c>
      <c r="F84" s="18"/>
      <c r="G84" s="18" t="s">
        <v>630</v>
      </c>
      <c r="H84" s="18" t="s">
        <v>631</v>
      </c>
      <c r="I84" s="18" t="s">
        <v>632</v>
      </c>
      <c r="J84" s="18" t="s">
        <v>633</v>
      </c>
      <c r="K84" s="18" t="s">
        <v>310</v>
      </c>
      <c r="L84" s="18"/>
      <c r="M84" s="18" t="s">
        <v>119</v>
      </c>
      <c r="N84" s="18"/>
      <c r="O84" s="18"/>
      <c r="P84" s="18"/>
      <c r="Q84" s="18"/>
      <c r="R84" s="18"/>
    </row>
    <row r="85" ht="30" customHeight="1" spans="1:18">
      <c r="A85" s="18" t="s">
        <v>634</v>
      </c>
      <c r="B85" s="18" t="s">
        <v>267</v>
      </c>
      <c r="C85" s="18" t="s">
        <v>591</v>
      </c>
      <c r="D85" s="18" t="s">
        <v>635</v>
      </c>
      <c r="E85" s="18" t="s">
        <v>636</v>
      </c>
      <c r="F85" s="18"/>
      <c r="G85" s="18" t="s">
        <v>637</v>
      </c>
      <c r="H85" s="18" t="s">
        <v>638</v>
      </c>
      <c r="I85" s="18" t="s">
        <v>278</v>
      </c>
      <c r="J85" s="18" t="s">
        <v>639</v>
      </c>
      <c r="K85" s="18" t="s">
        <v>310</v>
      </c>
      <c r="L85" s="18"/>
      <c r="M85" s="18" t="s">
        <v>119</v>
      </c>
      <c r="N85" s="18"/>
      <c r="O85" s="18"/>
      <c r="P85" s="18"/>
      <c r="Q85" s="18"/>
      <c r="R85" s="18"/>
    </row>
    <row r="86" ht="30" customHeight="1" spans="1:18">
      <c r="A86" s="18" t="s">
        <v>640</v>
      </c>
      <c r="B86" s="18" t="s">
        <v>267</v>
      </c>
      <c r="C86" s="18" t="s">
        <v>591</v>
      </c>
      <c r="D86" s="18" t="s">
        <v>641</v>
      </c>
      <c r="E86" s="18" t="s">
        <v>113</v>
      </c>
      <c r="F86" s="18"/>
      <c r="G86" s="18" t="s">
        <v>642</v>
      </c>
      <c r="H86" s="18" t="s">
        <v>643</v>
      </c>
      <c r="I86" s="18" t="s">
        <v>644</v>
      </c>
      <c r="J86" s="18" t="s">
        <v>645</v>
      </c>
      <c r="K86" s="18" t="s">
        <v>349</v>
      </c>
      <c r="L86" s="18"/>
      <c r="M86" s="18" t="s">
        <v>119</v>
      </c>
      <c r="N86" s="18"/>
      <c r="O86" s="18"/>
      <c r="P86" s="18"/>
      <c r="Q86" s="18"/>
      <c r="R86" s="18"/>
    </row>
    <row r="87" ht="30" customHeight="1" spans="1:18">
      <c r="A87" s="18" t="s">
        <v>646</v>
      </c>
      <c r="B87" s="18" t="s">
        <v>552</v>
      </c>
      <c r="C87" s="18" t="s">
        <v>591</v>
      </c>
      <c r="D87" s="18" t="s">
        <v>647</v>
      </c>
      <c r="E87" s="18" t="s">
        <v>648</v>
      </c>
      <c r="F87" s="18"/>
      <c r="G87" s="18" t="s">
        <v>649</v>
      </c>
      <c r="H87" s="18" t="s">
        <v>650</v>
      </c>
      <c r="I87" s="18" t="s">
        <v>651</v>
      </c>
      <c r="J87" s="18" t="s">
        <v>652</v>
      </c>
      <c r="K87" s="18" t="s">
        <v>310</v>
      </c>
      <c r="L87" s="18"/>
      <c r="M87" s="18" t="s">
        <v>119</v>
      </c>
      <c r="N87" s="18"/>
      <c r="O87" s="18"/>
      <c r="P87" s="18"/>
      <c r="Q87" s="18"/>
      <c r="R87" s="18"/>
    </row>
    <row r="88" ht="30" customHeight="1" spans="1:18">
      <c r="A88" s="18" t="s">
        <v>653</v>
      </c>
      <c r="B88" s="18" t="s">
        <v>267</v>
      </c>
      <c r="C88" s="18" t="s">
        <v>654</v>
      </c>
      <c r="D88" s="18" t="s">
        <v>655</v>
      </c>
      <c r="E88" s="18" t="s">
        <v>113</v>
      </c>
      <c r="F88" s="18"/>
      <c r="G88" s="18" t="s">
        <v>656</v>
      </c>
      <c r="H88" s="18" t="s">
        <v>657</v>
      </c>
      <c r="I88" s="18" t="s">
        <v>658</v>
      </c>
      <c r="J88" s="18" t="s">
        <v>659</v>
      </c>
      <c r="K88" s="18" t="s">
        <v>118</v>
      </c>
      <c r="L88" s="18"/>
      <c r="M88" s="18" t="s">
        <v>119</v>
      </c>
      <c r="N88" s="18"/>
      <c r="O88" s="18"/>
      <c r="P88" s="18"/>
      <c r="Q88" s="18"/>
      <c r="R88" s="18"/>
    </row>
    <row r="89" ht="30" customHeight="1" spans="1:18">
      <c r="A89" s="18" t="s">
        <v>660</v>
      </c>
      <c r="B89" s="18" t="s">
        <v>267</v>
      </c>
      <c r="C89" s="18" t="s">
        <v>654</v>
      </c>
      <c r="D89" s="18" t="s">
        <v>661</v>
      </c>
      <c r="E89" s="18" t="s">
        <v>113</v>
      </c>
      <c r="F89" s="18"/>
      <c r="G89" s="18" t="s">
        <v>662</v>
      </c>
      <c r="H89" s="18" t="s">
        <v>663</v>
      </c>
      <c r="I89" s="18" t="s">
        <v>664</v>
      </c>
      <c r="J89" s="18" t="s">
        <v>665</v>
      </c>
      <c r="K89" s="18" t="s">
        <v>138</v>
      </c>
      <c r="L89" s="18"/>
      <c r="M89" s="18" t="s">
        <v>119</v>
      </c>
      <c r="N89" s="18"/>
      <c r="O89" s="18"/>
      <c r="P89" s="18"/>
      <c r="Q89" s="18"/>
      <c r="R89" s="18"/>
    </row>
    <row r="90" ht="30" customHeight="1" spans="1:18">
      <c r="A90" s="18" t="s">
        <v>666</v>
      </c>
      <c r="B90" s="18" t="s">
        <v>267</v>
      </c>
      <c r="C90" s="18" t="s">
        <v>654</v>
      </c>
      <c r="D90" s="18" t="s">
        <v>667</v>
      </c>
      <c r="E90" s="18" t="s">
        <v>668</v>
      </c>
      <c r="F90" s="18"/>
      <c r="G90" s="18" t="s">
        <v>669</v>
      </c>
      <c r="H90" s="18" t="s">
        <v>670</v>
      </c>
      <c r="I90" s="18" t="s">
        <v>664</v>
      </c>
      <c r="J90" s="18" t="s">
        <v>671</v>
      </c>
      <c r="K90" s="18" t="s">
        <v>310</v>
      </c>
      <c r="L90" s="18"/>
      <c r="M90" s="18" t="s">
        <v>119</v>
      </c>
      <c r="N90" s="18"/>
      <c r="O90" s="18"/>
      <c r="P90" s="18"/>
      <c r="Q90" s="18"/>
      <c r="R90" s="18"/>
    </row>
    <row r="91" ht="30" customHeight="1" spans="1:18">
      <c r="A91" s="18" t="s">
        <v>672</v>
      </c>
      <c r="B91" s="18" t="s">
        <v>267</v>
      </c>
      <c r="C91" s="18" t="s">
        <v>654</v>
      </c>
      <c r="D91" s="18" t="s">
        <v>673</v>
      </c>
      <c r="E91" s="18" t="s">
        <v>674</v>
      </c>
      <c r="F91" s="18"/>
      <c r="G91" s="18" t="s">
        <v>675</v>
      </c>
      <c r="H91" s="18" t="s">
        <v>676</v>
      </c>
      <c r="I91" s="18" t="s">
        <v>677</v>
      </c>
      <c r="J91" s="18" t="s">
        <v>678</v>
      </c>
      <c r="K91" s="18" t="s">
        <v>138</v>
      </c>
      <c r="L91" s="18"/>
      <c r="M91" s="18" t="s">
        <v>119</v>
      </c>
      <c r="N91" s="18"/>
      <c r="O91" s="18"/>
      <c r="P91" s="18"/>
      <c r="Q91" s="18"/>
      <c r="R91" s="18"/>
    </row>
    <row r="92" ht="30" customHeight="1" spans="1:18">
      <c r="A92" s="18" t="s">
        <v>679</v>
      </c>
      <c r="B92" s="18" t="s">
        <v>267</v>
      </c>
      <c r="C92" s="18" t="s">
        <v>654</v>
      </c>
      <c r="D92" s="18" t="s">
        <v>680</v>
      </c>
      <c r="E92" s="18" t="s">
        <v>113</v>
      </c>
      <c r="F92" s="18"/>
      <c r="G92" s="18" t="s">
        <v>681</v>
      </c>
      <c r="H92" s="18" t="s">
        <v>682</v>
      </c>
      <c r="I92" s="18" t="s">
        <v>683</v>
      </c>
      <c r="J92" s="18" t="s">
        <v>684</v>
      </c>
      <c r="K92" s="18" t="s">
        <v>138</v>
      </c>
      <c r="L92" s="18"/>
      <c r="M92" s="18" t="s">
        <v>119</v>
      </c>
      <c r="N92" s="18"/>
      <c r="O92" s="18"/>
      <c r="P92" s="18"/>
      <c r="Q92" s="18"/>
      <c r="R92" s="18"/>
    </row>
    <row r="93" ht="30" customHeight="1" spans="1:18">
      <c r="A93" s="18" t="s">
        <v>685</v>
      </c>
      <c r="B93" s="18" t="s">
        <v>267</v>
      </c>
      <c r="C93" s="18" t="s">
        <v>654</v>
      </c>
      <c r="D93" s="18" t="s">
        <v>686</v>
      </c>
      <c r="E93" s="18" t="s">
        <v>687</v>
      </c>
      <c r="F93" s="18"/>
      <c r="G93" s="18" t="s">
        <v>688</v>
      </c>
      <c r="H93" s="18" t="s">
        <v>689</v>
      </c>
      <c r="I93" s="18" t="s">
        <v>690</v>
      </c>
      <c r="J93" s="18" t="s">
        <v>691</v>
      </c>
      <c r="K93" s="18" t="s">
        <v>310</v>
      </c>
      <c r="L93" s="18"/>
      <c r="M93" s="18" t="s">
        <v>119</v>
      </c>
      <c r="N93" s="18"/>
      <c r="O93" s="18"/>
      <c r="P93" s="18"/>
      <c r="Q93" s="18"/>
      <c r="R93" s="18"/>
    </row>
    <row r="94" ht="30" customHeight="1" spans="1:18">
      <c r="A94" s="18" t="s">
        <v>692</v>
      </c>
      <c r="B94" s="18" t="s">
        <v>267</v>
      </c>
      <c r="C94" s="18" t="s">
        <v>654</v>
      </c>
      <c r="D94" s="18" t="s">
        <v>693</v>
      </c>
      <c r="E94" s="18" t="s">
        <v>694</v>
      </c>
      <c r="F94" s="18"/>
      <c r="G94" s="18" t="s">
        <v>695</v>
      </c>
      <c r="H94" s="18" t="s">
        <v>696</v>
      </c>
      <c r="I94" s="18" t="s">
        <v>697</v>
      </c>
      <c r="J94" s="18" t="s">
        <v>232</v>
      </c>
      <c r="K94" s="18" t="s">
        <v>118</v>
      </c>
      <c r="L94" s="18"/>
      <c r="M94" s="18" t="s">
        <v>119</v>
      </c>
      <c r="N94" s="18"/>
      <c r="O94" s="18"/>
      <c r="P94" s="18"/>
      <c r="Q94" s="18"/>
      <c r="R94" s="18"/>
    </row>
    <row r="95" ht="30" customHeight="1" spans="1:18">
      <c r="A95" s="18" t="s">
        <v>698</v>
      </c>
      <c r="B95" s="18" t="s">
        <v>267</v>
      </c>
      <c r="C95" s="18" t="s">
        <v>654</v>
      </c>
      <c r="D95" s="18" t="s">
        <v>699</v>
      </c>
      <c r="E95" s="18" t="s">
        <v>113</v>
      </c>
      <c r="F95" s="18"/>
      <c r="G95" s="18" t="s">
        <v>700</v>
      </c>
      <c r="H95" s="18" t="s">
        <v>701</v>
      </c>
      <c r="I95" s="18" t="s">
        <v>702</v>
      </c>
      <c r="J95" s="18" t="s">
        <v>703</v>
      </c>
      <c r="K95" s="18" t="s">
        <v>138</v>
      </c>
      <c r="L95" s="18"/>
      <c r="M95" s="18" t="s">
        <v>119</v>
      </c>
      <c r="N95" s="18"/>
      <c r="O95" s="18"/>
      <c r="P95" s="18"/>
      <c r="Q95" s="18"/>
      <c r="R95" s="18"/>
    </row>
    <row r="96" ht="30" customHeight="1" spans="1:18">
      <c r="A96" s="18" t="s">
        <v>704</v>
      </c>
      <c r="B96" s="18" t="s">
        <v>267</v>
      </c>
      <c r="C96" s="18" t="s">
        <v>654</v>
      </c>
      <c r="D96" s="18" t="s">
        <v>705</v>
      </c>
      <c r="E96" s="18" t="s">
        <v>383</v>
      </c>
      <c r="F96" s="18"/>
      <c r="G96" s="18" t="s">
        <v>706</v>
      </c>
      <c r="H96" s="18" t="s">
        <v>707</v>
      </c>
      <c r="I96" s="18" t="s">
        <v>708</v>
      </c>
      <c r="J96" s="18" t="s">
        <v>709</v>
      </c>
      <c r="K96" s="18" t="s">
        <v>349</v>
      </c>
      <c r="L96" s="18"/>
      <c r="M96" s="18" t="s">
        <v>119</v>
      </c>
      <c r="N96" s="18"/>
      <c r="O96" s="18"/>
      <c r="P96" s="18"/>
      <c r="Q96" s="18"/>
      <c r="R96" s="18"/>
    </row>
    <row r="97" ht="30" customHeight="1" spans="1:18">
      <c r="A97" s="18" t="s">
        <v>710</v>
      </c>
      <c r="B97" s="18" t="s">
        <v>267</v>
      </c>
      <c r="C97" s="18" t="s">
        <v>654</v>
      </c>
      <c r="D97" s="18" t="s">
        <v>711</v>
      </c>
      <c r="E97" s="18" t="s">
        <v>113</v>
      </c>
      <c r="F97" s="18"/>
      <c r="G97" s="18" t="s">
        <v>712</v>
      </c>
      <c r="H97" s="18" t="s">
        <v>713</v>
      </c>
      <c r="I97" s="18" t="s">
        <v>714</v>
      </c>
      <c r="J97" s="18" t="s">
        <v>715</v>
      </c>
      <c r="K97" s="18" t="s">
        <v>349</v>
      </c>
      <c r="L97" s="18"/>
      <c r="M97" s="18" t="s">
        <v>119</v>
      </c>
      <c r="N97" s="18"/>
      <c r="O97" s="18"/>
      <c r="P97" s="18"/>
      <c r="Q97" s="18"/>
      <c r="R97" s="18"/>
    </row>
    <row r="98" ht="30" customHeight="1" spans="1:18">
      <c r="A98" s="18" t="s">
        <v>716</v>
      </c>
      <c r="B98" s="18" t="s">
        <v>552</v>
      </c>
      <c r="C98" s="18" t="s">
        <v>654</v>
      </c>
      <c r="D98" s="18" t="s">
        <v>717</v>
      </c>
      <c r="E98" s="18" t="s">
        <v>113</v>
      </c>
      <c r="F98" s="18"/>
      <c r="G98" s="18" t="s">
        <v>718</v>
      </c>
      <c r="H98" s="18" t="s">
        <v>719</v>
      </c>
      <c r="I98" s="18" t="s">
        <v>720</v>
      </c>
      <c r="J98" s="18" t="s">
        <v>721</v>
      </c>
      <c r="K98" s="18" t="s">
        <v>349</v>
      </c>
      <c r="L98" s="18"/>
      <c r="M98" s="18" t="s">
        <v>119</v>
      </c>
      <c r="N98" s="18"/>
      <c r="O98" s="18"/>
      <c r="P98" s="18"/>
      <c r="Q98" s="18"/>
      <c r="R98" s="18"/>
    </row>
    <row r="99" ht="30" customHeight="1" spans="1:18">
      <c r="A99" s="18" t="s">
        <v>722</v>
      </c>
      <c r="B99" s="18" t="s">
        <v>267</v>
      </c>
      <c r="C99" s="18" t="s">
        <v>654</v>
      </c>
      <c r="D99" s="18" t="s">
        <v>723</v>
      </c>
      <c r="E99" s="18" t="s">
        <v>113</v>
      </c>
      <c r="F99" s="18"/>
      <c r="G99" s="18" t="s">
        <v>724</v>
      </c>
      <c r="H99" s="18" t="s">
        <v>725</v>
      </c>
      <c r="I99" s="18" t="s">
        <v>726</v>
      </c>
      <c r="J99" s="18" t="s">
        <v>727</v>
      </c>
      <c r="K99" s="18" t="s">
        <v>138</v>
      </c>
      <c r="L99" s="18"/>
      <c r="M99" s="18" t="s">
        <v>119</v>
      </c>
      <c r="N99" s="18"/>
      <c r="O99" s="18"/>
      <c r="P99" s="18"/>
      <c r="Q99" s="18"/>
      <c r="R99" s="18"/>
    </row>
    <row r="100" ht="30" customHeight="1" spans="1:18">
      <c r="A100" s="18" t="s">
        <v>728</v>
      </c>
      <c r="B100" s="18" t="s">
        <v>729</v>
      </c>
      <c r="C100" s="18" t="s">
        <v>654</v>
      </c>
      <c r="D100" s="18" t="s">
        <v>730</v>
      </c>
      <c r="E100" s="18" t="s">
        <v>113</v>
      </c>
      <c r="F100" s="18"/>
      <c r="G100" s="18" t="s">
        <v>731</v>
      </c>
      <c r="H100" s="18" t="s">
        <v>732</v>
      </c>
      <c r="I100" s="18" t="s">
        <v>733</v>
      </c>
      <c r="J100" s="18" t="s">
        <v>734</v>
      </c>
      <c r="K100" s="18" t="s">
        <v>349</v>
      </c>
      <c r="L100" s="18"/>
      <c r="M100" s="18" t="s">
        <v>119</v>
      </c>
      <c r="N100" s="18"/>
      <c r="O100" s="18"/>
      <c r="P100" s="18"/>
      <c r="Q100" s="18"/>
      <c r="R100" s="18"/>
    </row>
    <row r="101" ht="30" customHeight="1" spans="1:18">
      <c r="A101" s="18" t="s">
        <v>735</v>
      </c>
      <c r="B101" s="18" t="s">
        <v>729</v>
      </c>
      <c r="C101" s="18" t="s">
        <v>654</v>
      </c>
      <c r="D101" s="18" t="s">
        <v>736</v>
      </c>
      <c r="E101" s="18" t="s">
        <v>113</v>
      </c>
      <c r="F101" s="18"/>
      <c r="G101" s="18" t="s">
        <v>737</v>
      </c>
      <c r="H101" s="18" t="s">
        <v>738</v>
      </c>
      <c r="I101" s="18" t="s">
        <v>739</v>
      </c>
      <c r="J101" s="18" t="s">
        <v>740</v>
      </c>
      <c r="K101" s="18" t="s">
        <v>741</v>
      </c>
      <c r="L101" s="18"/>
      <c r="M101" s="18" t="s">
        <v>119</v>
      </c>
      <c r="N101" s="18"/>
      <c r="O101" s="18"/>
      <c r="P101" s="18"/>
      <c r="Q101" s="18"/>
      <c r="R101" s="18"/>
    </row>
    <row r="102" ht="30" customHeight="1" spans="1:18">
      <c r="A102" s="18" t="s">
        <v>742</v>
      </c>
      <c r="B102" s="18" t="s">
        <v>267</v>
      </c>
      <c r="C102" s="18" t="s">
        <v>743</v>
      </c>
      <c r="D102" s="18" t="s">
        <v>744</v>
      </c>
      <c r="E102" s="18" t="s">
        <v>745</v>
      </c>
      <c r="F102" s="18"/>
      <c r="G102" s="18" t="s">
        <v>746</v>
      </c>
      <c r="H102" s="18" t="s">
        <v>747</v>
      </c>
      <c r="I102" s="18" t="s">
        <v>748</v>
      </c>
      <c r="J102" s="18" t="s">
        <v>749</v>
      </c>
      <c r="K102" s="18" t="s">
        <v>118</v>
      </c>
      <c r="L102" s="18"/>
      <c r="M102" s="18" t="s">
        <v>119</v>
      </c>
      <c r="N102" s="18"/>
      <c r="O102" s="18"/>
      <c r="P102" s="18"/>
      <c r="Q102" s="18"/>
      <c r="R102" s="18"/>
    </row>
    <row r="103" ht="30" customHeight="1" spans="1:18">
      <c r="A103" s="18" t="s">
        <v>750</v>
      </c>
      <c r="B103" s="18" t="s">
        <v>267</v>
      </c>
      <c r="C103" s="18" t="s">
        <v>743</v>
      </c>
      <c r="D103" s="18" t="s">
        <v>751</v>
      </c>
      <c r="E103" s="18" t="s">
        <v>752</v>
      </c>
      <c r="F103" s="18"/>
      <c r="G103" s="18" t="s">
        <v>753</v>
      </c>
      <c r="H103" s="18" t="s">
        <v>754</v>
      </c>
      <c r="I103" s="18" t="s">
        <v>755</v>
      </c>
      <c r="J103" s="18" t="s">
        <v>756</v>
      </c>
      <c r="K103" s="18" t="s">
        <v>118</v>
      </c>
      <c r="L103" s="18"/>
      <c r="M103" s="18" t="s">
        <v>119</v>
      </c>
      <c r="N103" s="18"/>
      <c r="O103" s="18"/>
      <c r="P103" s="18"/>
      <c r="Q103" s="18"/>
      <c r="R103" s="18"/>
    </row>
    <row r="104" ht="30" customHeight="1" spans="1:18">
      <c r="A104" s="18" t="s">
        <v>757</v>
      </c>
      <c r="B104" s="18" t="s">
        <v>267</v>
      </c>
      <c r="C104" s="18" t="s">
        <v>743</v>
      </c>
      <c r="D104" s="18" t="s">
        <v>758</v>
      </c>
      <c r="E104" s="18" t="s">
        <v>745</v>
      </c>
      <c r="F104" s="18"/>
      <c r="G104" s="18" t="s">
        <v>759</v>
      </c>
      <c r="H104" s="18" t="s">
        <v>760</v>
      </c>
      <c r="I104" s="18" t="s">
        <v>761</v>
      </c>
      <c r="J104" s="18" t="s">
        <v>762</v>
      </c>
      <c r="K104" s="18" t="s">
        <v>138</v>
      </c>
      <c r="L104" s="18"/>
      <c r="M104" s="18" t="s">
        <v>119</v>
      </c>
      <c r="N104" s="18"/>
      <c r="O104" s="18"/>
      <c r="P104" s="18"/>
      <c r="Q104" s="18"/>
      <c r="R104" s="18"/>
    </row>
    <row r="105" ht="30" customHeight="1" spans="1:18">
      <c r="A105" s="18" t="s">
        <v>763</v>
      </c>
      <c r="B105" s="18" t="s">
        <v>267</v>
      </c>
      <c r="C105" s="18" t="s">
        <v>743</v>
      </c>
      <c r="D105" s="18" t="s">
        <v>764</v>
      </c>
      <c r="E105" s="18" t="s">
        <v>745</v>
      </c>
      <c r="F105" s="18"/>
      <c r="G105" s="18" t="s">
        <v>765</v>
      </c>
      <c r="H105" s="18" t="s">
        <v>766</v>
      </c>
      <c r="I105" s="18" t="s">
        <v>748</v>
      </c>
      <c r="J105" s="18" t="s">
        <v>767</v>
      </c>
      <c r="K105" s="18" t="s">
        <v>310</v>
      </c>
      <c r="L105" s="18"/>
      <c r="M105" s="18" t="s">
        <v>119</v>
      </c>
      <c r="N105" s="18"/>
      <c r="O105" s="18"/>
      <c r="P105" s="18"/>
      <c r="Q105" s="18"/>
      <c r="R105" s="18"/>
    </row>
    <row r="106" ht="30" customHeight="1" spans="1:18">
      <c r="A106" s="18" t="s">
        <v>768</v>
      </c>
      <c r="B106" s="18" t="s">
        <v>267</v>
      </c>
      <c r="C106" s="18" t="s">
        <v>743</v>
      </c>
      <c r="D106" s="18" t="s">
        <v>769</v>
      </c>
      <c r="E106" s="18" t="s">
        <v>770</v>
      </c>
      <c r="F106" s="18"/>
      <c r="G106" s="18" t="s">
        <v>771</v>
      </c>
      <c r="H106" s="18" t="s">
        <v>772</v>
      </c>
      <c r="I106" s="18" t="s">
        <v>773</v>
      </c>
      <c r="J106" s="18" t="s">
        <v>774</v>
      </c>
      <c r="K106" s="18" t="s">
        <v>118</v>
      </c>
      <c r="L106" s="18"/>
      <c r="M106" s="18" t="s">
        <v>119</v>
      </c>
      <c r="N106" s="18"/>
      <c r="O106" s="18"/>
      <c r="P106" s="18"/>
      <c r="Q106" s="18"/>
      <c r="R106" s="18"/>
    </row>
    <row r="107" ht="30" customHeight="1" spans="1:18">
      <c r="A107" s="18" t="s">
        <v>775</v>
      </c>
      <c r="B107" s="18" t="s">
        <v>267</v>
      </c>
      <c r="C107" s="18" t="s">
        <v>743</v>
      </c>
      <c r="D107" s="18" t="s">
        <v>776</v>
      </c>
      <c r="E107" s="18" t="s">
        <v>777</v>
      </c>
      <c r="F107" s="18"/>
      <c r="G107" s="18" t="s">
        <v>778</v>
      </c>
      <c r="H107" s="18" t="s">
        <v>779</v>
      </c>
      <c r="I107" s="18" t="s">
        <v>780</v>
      </c>
      <c r="J107" s="18" t="s">
        <v>781</v>
      </c>
      <c r="K107" s="18" t="s">
        <v>207</v>
      </c>
      <c r="L107" s="18"/>
      <c r="M107" s="18" t="s">
        <v>119</v>
      </c>
      <c r="N107" s="18"/>
      <c r="O107" s="18"/>
      <c r="P107" s="18"/>
      <c r="Q107" s="18"/>
      <c r="R107" s="18"/>
    </row>
    <row r="108" ht="30" customHeight="1" spans="1:18">
      <c r="A108" s="18" t="s">
        <v>782</v>
      </c>
      <c r="B108" s="18" t="s">
        <v>267</v>
      </c>
      <c r="C108" s="18" t="s">
        <v>743</v>
      </c>
      <c r="D108" s="18" t="s">
        <v>783</v>
      </c>
      <c r="E108" s="18" t="s">
        <v>784</v>
      </c>
      <c r="F108" s="18"/>
      <c r="G108" s="18" t="s">
        <v>785</v>
      </c>
      <c r="H108" s="18" t="s">
        <v>786</v>
      </c>
      <c r="I108" s="18" t="s">
        <v>787</v>
      </c>
      <c r="J108" s="18" t="s">
        <v>774</v>
      </c>
      <c r="K108" s="18" t="s">
        <v>118</v>
      </c>
      <c r="L108" s="18"/>
      <c r="M108" s="18" t="s">
        <v>119</v>
      </c>
      <c r="N108" s="18"/>
      <c r="O108" s="18"/>
      <c r="P108" s="18"/>
      <c r="Q108" s="18"/>
      <c r="R108" s="18"/>
    </row>
    <row r="109" ht="30" customHeight="1" spans="1:18">
      <c r="A109" s="18" t="s">
        <v>788</v>
      </c>
      <c r="B109" s="18" t="s">
        <v>267</v>
      </c>
      <c r="C109" s="18" t="s">
        <v>743</v>
      </c>
      <c r="D109" s="18" t="s">
        <v>789</v>
      </c>
      <c r="E109" s="18" t="s">
        <v>790</v>
      </c>
      <c r="F109" s="18"/>
      <c r="G109" s="18" t="s">
        <v>791</v>
      </c>
      <c r="H109" s="18" t="s">
        <v>792</v>
      </c>
      <c r="I109" s="18" t="s">
        <v>793</v>
      </c>
      <c r="J109" s="18" t="s">
        <v>794</v>
      </c>
      <c r="K109" s="18" t="s">
        <v>118</v>
      </c>
      <c r="L109" s="18"/>
      <c r="M109" s="18" t="s">
        <v>119</v>
      </c>
      <c r="N109" s="18"/>
      <c r="O109" s="18"/>
      <c r="P109" s="18"/>
      <c r="Q109" s="18"/>
      <c r="R109" s="18"/>
    </row>
    <row r="110" ht="30" customHeight="1" spans="1:18">
      <c r="A110" s="18" t="s">
        <v>795</v>
      </c>
      <c r="B110" s="18" t="s">
        <v>267</v>
      </c>
      <c r="C110" s="18" t="s">
        <v>743</v>
      </c>
      <c r="D110" s="18" t="s">
        <v>796</v>
      </c>
      <c r="E110" s="18" t="s">
        <v>797</v>
      </c>
      <c r="F110" s="18"/>
      <c r="G110" s="18" t="s">
        <v>798</v>
      </c>
      <c r="H110" s="18" t="s">
        <v>799</v>
      </c>
      <c r="I110" s="18" t="s">
        <v>800</v>
      </c>
      <c r="J110" s="18" t="s">
        <v>801</v>
      </c>
      <c r="K110" s="18" t="s">
        <v>207</v>
      </c>
      <c r="L110" s="18"/>
      <c r="M110" s="18" t="s">
        <v>119</v>
      </c>
      <c r="N110" s="18"/>
      <c r="O110" s="18"/>
      <c r="P110" s="18"/>
      <c r="Q110" s="18"/>
      <c r="R110" s="18"/>
    </row>
    <row r="111" ht="30" customHeight="1" spans="1:18">
      <c r="A111" s="18" t="s">
        <v>802</v>
      </c>
      <c r="B111" s="18" t="s">
        <v>267</v>
      </c>
      <c r="C111" s="18" t="s">
        <v>743</v>
      </c>
      <c r="D111" s="18" t="s">
        <v>803</v>
      </c>
      <c r="E111" s="18" t="s">
        <v>804</v>
      </c>
      <c r="F111" s="18"/>
      <c r="G111" s="18" t="s">
        <v>805</v>
      </c>
      <c r="H111" s="18" t="s">
        <v>806</v>
      </c>
      <c r="I111" s="18" t="s">
        <v>807</v>
      </c>
      <c r="J111" s="18" t="s">
        <v>808</v>
      </c>
      <c r="K111" s="18" t="s">
        <v>118</v>
      </c>
      <c r="L111" s="18"/>
      <c r="M111" s="18" t="s">
        <v>119</v>
      </c>
      <c r="N111" s="18"/>
      <c r="O111" s="18"/>
      <c r="P111" s="18"/>
      <c r="Q111" s="18"/>
      <c r="R111" s="18"/>
    </row>
    <row r="112" ht="30" customHeight="1" spans="1:18">
      <c r="A112" s="18" t="s">
        <v>809</v>
      </c>
      <c r="B112" s="18" t="s">
        <v>267</v>
      </c>
      <c r="C112" s="18" t="s">
        <v>743</v>
      </c>
      <c r="D112" s="18" t="s">
        <v>810</v>
      </c>
      <c r="E112" s="18" t="s">
        <v>811</v>
      </c>
      <c r="F112" s="18"/>
      <c r="G112" s="18" t="s">
        <v>812</v>
      </c>
      <c r="H112" s="18" t="s">
        <v>813</v>
      </c>
      <c r="I112" s="18" t="s">
        <v>814</v>
      </c>
      <c r="J112" s="18" t="s">
        <v>544</v>
      </c>
      <c r="K112" s="18" t="s">
        <v>138</v>
      </c>
      <c r="L112" s="18"/>
      <c r="M112" s="18" t="s">
        <v>119</v>
      </c>
      <c r="N112" s="18"/>
      <c r="O112" s="18"/>
      <c r="P112" s="18"/>
      <c r="Q112" s="18"/>
      <c r="R112" s="18"/>
    </row>
    <row r="113" ht="30" customHeight="1" spans="1:18">
      <c r="A113" s="18" t="s">
        <v>815</v>
      </c>
      <c r="B113" s="18" t="s">
        <v>267</v>
      </c>
      <c r="C113" s="18" t="s">
        <v>743</v>
      </c>
      <c r="D113" s="18" t="s">
        <v>816</v>
      </c>
      <c r="E113" s="18" t="s">
        <v>817</v>
      </c>
      <c r="F113" s="18"/>
      <c r="G113" s="18" t="s">
        <v>818</v>
      </c>
      <c r="H113" s="18" t="s">
        <v>819</v>
      </c>
      <c r="I113" s="18" t="s">
        <v>820</v>
      </c>
      <c r="J113" s="18" t="s">
        <v>821</v>
      </c>
      <c r="K113" s="18" t="s">
        <v>118</v>
      </c>
      <c r="L113" s="18"/>
      <c r="M113" s="18" t="s">
        <v>119</v>
      </c>
      <c r="N113" s="18"/>
      <c r="O113" s="18"/>
      <c r="P113" s="18"/>
      <c r="Q113" s="18"/>
      <c r="R113" s="18"/>
    </row>
    <row r="114" ht="30" customHeight="1" spans="1:18">
      <c r="A114" s="18" t="s">
        <v>822</v>
      </c>
      <c r="B114" s="18" t="s">
        <v>267</v>
      </c>
      <c r="C114" s="18" t="s">
        <v>743</v>
      </c>
      <c r="D114" s="18" t="s">
        <v>823</v>
      </c>
      <c r="E114" s="18" t="s">
        <v>824</v>
      </c>
      <c r="F114" s="18"/>
      <c r="G114" s="18" t="s">
        <v>825</v>
      </c>
      <c r="H114" s="18" t="s">
        <v>826</v>
      </c>
      <c r="I114" s="18" t="s">
        <v>827</v>
      </c>
      <c r="J114" s="18" t="s">
        <v>828</v>
      </c>
      <c r="K114" s="18" t="s">
        <v>349</v>
      </c>
      <c r="L114" s="18"/>
      <c r="M114" s="18" t="s">
        <v>119</v>
      </c>
      <c r="N114" s="18"/>
      <c r="O114" s="18"/>
      <c r="P114" s="18"/>
      <c r="Q114" s="18"/>
      <c r="R114" s="18"/>
    </row>
    <row r="115" ht="30" customHeight="1" spans="1:18">
      <c r="A115" s="18" t="s">
        <v>829</v>
      </c>
      <c r="B115" s="18" t="s">
        <v>267</v>
      </c>
      <c r="C115" s="18" t="s">
        <v>743</v>
      </c>
      <c r="D115" s="18" t="s">
        <v>830</v>
      </c>
      <c r="E115" s="18" t="s">
        <v>831</v>
      </c>
      <c r="F115" s="18"/>
      <c r="G115" s="18" t="s">
        <v>832</v>
      </c>
      <c r="H115" s="18" t="s">
        <v>833</v>
      </c>
      <c r="I115" s="18" t="s">
        <v>834</v>
      </c>
      <c r="J115" s="18" t="s">
        <v>835</v>
      </c>
      <c r="K115" s="18" t="s">
        <v>138</v>
      </c>
      <c r="L115" s="18"/>
      <c r="M115" s="18" t="s">
        <v>119</v>
      </c>
      <c r="N115" s="18"/>
      <c r="O115" s="18"/>
      <c r="P115" s="18"/>
      <c r="Q115" s="18"/>
      <c r="R115" s="18"/>
    </row>
    <row r="116" ht="30" customHeight="1" spans="1:18">
      <c r="A116" s="18" t="s">
        <v>836</v>
      </c>
      <c r="B116" s="18" t="s">
        <v>267</v>
      </c>
      <c r="C116" s="18" t="s">
        <v>743</v>
      </c>
      <c r="D116" s="18" t="s">
        <v>837</v>
      </c>
      <c r="E116" s="18" t="s">
        <v>745</v>
      </c>
      <c r="F116" s="18"/>
      <c r="G116" s="18" t="s">
        <v>838</v>
      </c>
      <c r="H116" s="18" t="s">
        <v>839</v>
      </c>
      <c r="I116" s="18" t="s">
        <v>840</v>
      </c>
      <c r="J116" s="18" t="s">
        <v>841</v>
      </c>
      <c r="K116" s="18" t="s">
        <v>118</v>
      </c>
      <c r="L116" s="18"/>
      <c r="M116" s="18" t="s">
        <v>119</v>
      </c>
      <c r="N116" s="18"/>
      <c r="O116" s="18"/>
      <c r="P116" s="18"/>
      <c r="Q116" s="18"/>
      <c r="R116" s="18"/>
    </row>
    <row r="117" ht="30" customHeight="1" spans="1:18">
      <c r="A117" s="18" t="s">
        <v>842</v>
      </c>
      <c r="B117" s="18" t="s">
        <v>729</v>
      </c>
      <c r="C117" s="18" t="s">
        <v>743</v>
      </c>
      <c r="D117" s="18" t="s">
        <v>843</v>
      </c>
      <c r="E117" s="18" t="s">
        <v>113</v>
      </c>
      <c r="F117" s="18"/>
      <c r="G117" s="18" t="s">
        <v>844</v>
      </c>
      <c r="H117" s="18" t="s">
        <v>845</v>
      </c>
      <c r="I117" s="18" t="s">
        <v>846</v>
      </c>
      <c r="J117" s="18" t="s">
        <v>847</v>
      </c>
      <c r="K117" s="18" t="s">
        <v>349</v>
      </c>
      <c r="L117" s="18"/>
      <c r="M117" s="18" t="s">
        <v>119</v>
      </c>
      <c r="N117" s="18"/>
      <c r="O117" s="18"/>
      <c r="P117" s="18"/>
      <c r="Q117" s="18"/>
      <c r="R117" s="18"/>
    </row>
    <row r="118" ht="30" customHeight="1" spans="1:18">
      <c r="A118" s="18" t="s">
        <v>848</v>
      </c>
      <c r="B118" s="18" t="s">
        <v>729</v>
      </c>
      <c r="C118" s="18" t="s">
        <v>743</v>
      </c>
      <c r="D118" s="18" t="s">
        <v>849</v>
      </c>
      <c r="E118" s="18" t="s">
        <v>113</v>
      </c>
      <c r="F118" s="18"/>
      <c r="G118" s="18" t="s">
        <v>850</v>
      </c>
      <c r="H118" s="18" t="s">
        <v>851</v>
      </c>
      <c r="I118" s="18" t="s">
        <v>852</v>
      </c>
      <c r="J118" s="18" t="s">
        <v>853</v>
      </c>
      <c r="K118" s="18" t="s">
        <v>741</v>
      </c>
      <c r="L118" s="18"/>
      <c r="M118" s="18" t="s">
        <v>119</v>
      </c>
      <c r="N118" s="18"/>
      <c r="O118" s="18"/>
      <c r="P118" s="18"/>
      <c r="Q118" s="18"/>
      <c r="R118" s="18"/>
    </row>
    <row r="119" ht="30" customHeight="1" spans="1:18">
      <c r="A119" s="18" t="s">
        <v>854</v>
      </c>
      <c r="B119" s="18" t="s">
        <v>729</v>
      </c>
      <c r="C119" s="18" t="s">
        <v>743</v>
      </c>
      <c r="D119" s="18" t="s">
        <v>855</v>
      </c>
      <c r="E119" s="18" t="s">
        <v>113</v>
      </c>
      <c r="F119" s="18"/>
      <c r="G119" s="18" t="s">
        <v>856</v>
      </c>
      <c r="H119" s="18" t="s">
        <v>857</v>
      </c>
      <c r="I119" s="18" t="s">
        <v>858</v>
      </c>
      <c r="J119" s="18" t="s">
        <v>859</v>
      </c>
      <c r="K119" s="18" t="s">
        <v>349</v>
      </c>
      <c r="L119" s="18"/>
      <c r="M119" s="18" t="s">
        <v>119</v>
      </c>
      <c r="N119" s="18"/>
      <c r="O119" s="18"/>
      <c r="P119" s="18"/>
      <c r="Q119" s="18"/>
      <c r="R119" s="18"/>
    </row>
    <row r="120" ht="30" customHeight="1" spans="1:18">
      <c r="A120" s="18" t="s">
        <v>860</v>
      </c>
      <c r="B120" s="18" t="s">
        <v>861</v>
      </c>
      <c r="C120" s="18" t="s">
        <v>862</v>
      </c>
      <c r="D120" s="18" t="s">
        <v>863</v>
      </c>
      <c r="E120" s="18" t="s">
        <v>864</v>
      </c>
      <c r="F120" s="18"/>
      <c r="G120" s="18" t="s">
        <v>865</v>
      </c>
      <c r="H120" s="18" t="s">
        <v>866</v>
      </c>
      <c r="I120" s="18" t="s">
        <v>867</v>
      </c>
      <c r="J120" s="18" t="s">
        <v>868</v>
      </c>
      <c r="K120" s="18" t="s">
        <v>138</v>
      </c>
      <c r="L120" s="18"/>
      <c r="M120" s="18" t="s">
        <v>119</v>
      </c>
      <c r="N120" s="18"/>
      <c r="O120" s="18"/>
      <c r="P120" s="18"/>
      <c r="Q120" s="18"/>
      <c r="R120" s="18"/>
    </row>
    <row r="121" ht="30" customHeight="1" spans="1:18">
      <c r="A121" s="18" t="s">
        <v>869</v>
      </c>
      <c r="B121" s="18" t="s">
        <v>861</v>
      </c>
      <c r="C121" s="18" t="s">
        <v>862</v>
      </c>
      <c r="D121" s="18" t="s">
        <v>870</v>
      </c>
      <c r="E121" s="18" t="s">
        <v>113</v>
      </c>
      <c r="F121" s="18"/>
      <c r="G121" s="18" t="s">
        <v>871</v>
      </c>
      <c r="H121" s="18" t="s">
        <v>872</v>
      </c>
      <c r="I121" s="18" t="s">
        <v>873</v>
      </c>
      <c r="J121" s="18" t="s">
        <v>874</v>
      </c>
      <c r="K121" s="18" t="s">
        <v>138</v>
      </c>
      <c r="L121" s="18"/>
      <c r="M121" s="18" t="s">
        <v>119</v>
      </c>
      <c r="N121" s="18"/>
      <c r="O121" s="18"/>
      <c r="P121" s="18"/>
      <c r="Q121" s="18"/>
      <c r="R121" s="18"/>
    </row>
    <row r="122" ht="30" customHeight="1" spans="1:18">
      <c r="A122" s="18" t="s">
        <v>875</v>
      </c>
      <c r="B122" s="18" t="s">
        <v>861</v>
      </c>
      <c r="C122" s="18" t="s">
        <v>862</v>
      </c>
      <c r="D122" s="18" t="s">
        <v>876</v>
      </c>
      <c r="E122" s="18" t="s">
        <v>113</v>
      </c>
      <c r="F122" s="18"/>
      <c r="G122" s="18" t="s">
        <v>877</v>
      </c>
      <c r="H122" s="18" t="s">
        <v>878</v>
      </c>
      <c r="I122" s="18" t="s">
        <v>879</v>
      </c>
      <c r="J122" s="18" t="s">
        <v>880</v>
      </c>
      <c r="K122" s="18" t="s">
        <v>138</v>
      </c>
      <c r="L122" s="18"/>
      <c r="M122" s="18" t="s">
        <v>119</v>
      </c>
      <c r="N122" s="18"/>
      <c r="O122" s="18"/>
      <c r="P122" s="18"/>
      <c r="Q122" s="18"/>
      <c r="R122" s="18"/>
    </row>
    <row r="123" ht="30" customHeight="1" spans="1:18">
      <c r="A123" s="18" t="s">
        <v>881</v>
      </c>
      <c r="B123" s="18" t="s">
        <v>861</v>
      </c>
      <c r="C123" s="18" t="s">
        <v>862</v>
      </c>
      <c r="D123" s="18" t="s">
        <v>882</v>
      </c>
      <c r="E123" s="18" t="s">
        <v>113</v>
      </c>
      <c r="F123" s="18"/>
      <c r="G123" s="18" t="s">
        <v>883</v>
      </c>
      <c r="H123" s="18" t="s">
        <v>884</v>
      </c>
      <c r="I123" s="18" t="s">
        <v>885</v>
      </c>
      <c r="J123" s="18" t="s">
        <v>886</v>
      </c>
      <c r="K123" s="18" t="s">
        <v>138</v>
      </c>
      <c r="L123" s="18"/>
      <c r="M123" s="18" t="s">
        <v>119</v>
      </c>
      <c r="N123" s="18"/>
      <c r="O123" s="18"/>
      <c r="P123" s="18"/>
      <c r="Q123" s="18"/>
      <c r="R123" s="18"/>
    </row>
    <row r="124" ht="30" customHeight="1" spans="1:18">
      <c r="A124" s="18" t="s">
        <v>887</v>
      </c>
      <c r="B124" s="18" t="s">
        <v>861</v>
      </c>
      <c r="C124" s="18" t="s">
        <v>862</v>
      </c>
      <c r="D124" s="18" t="s">
        <v>888</v>
      </c>
      <c r="E124" s="18" t="s">
        <v>889</v>
      </c>
      <c r="F124" s="18"/>
      <c r="G124" s="18" t="s">
        <v>890</v>
      </c>
      <c r="H124" s="18" t="s">
        <v>891</v>
      </c>
      <c r="I124" s="18" t="s">
        <v>392</v>
      </c>
      <c r="J124" s="18" t="s">
        <v>892</v>
      </c>
      <c r="K124" s="18" t="s">
        <v>310</v>
      </c>
      <c r="L124" s="18"/>
      <c r="M124" s="18" t="s">
        <v>119</v>
      </c>
      <c r="N124" s="18"/>
      <c r="O124" s="18"/>
      <c r="P124" s="18"/>
      <c r="Q124" s="18"/>
      <c r="R124" s="18"/>
    </row>
    <row r="125" ht="30" customHeight="1" spans="1:18">
      <c r="A125" s="18" t="s">
        <v>893</v>
      </c>
      <c r="B125" s="18" t="s">
        <v>861</v>
      </c>
      <c r="C125" s="18" t="s">
        <v>862</v>
      </c>
      <c r="D125" s="18" t="s">
        <v>894</v>
      </c>
      <c r="E125" s="18" t="s">
        <v>895</v>
      </c>
      <c r="F125" s="18"/>
      <c r="G125" s="18" t="s">
        <v>896</v>
      </c>
      <c r="H125" s="18" t="s">
        <v>897</v>
      </c>
      <c r="I125" s="18" t="s">
        <v>399</v>
      </c>
      <c r="J125" s="18" t="s">
        <v>898</v>
      </c>
      <c r="K125" s="18" t="s">
        <v>310</v>
      </c>
      <c r="L125" s="18"/>
      <c r="M125" s="18" t="s">
        <v>119</v>
      </c>
      <c r="N125" s="18"/>
      <c r="O125" s="18"/>
      <c r="P125" s="18"/>
      <c r="Q125" s="18"/>
      <c r="R125" s="18"/>
    </row>
    <row r="126" ht="30" customHeight="1" spans="1:18">
      <c r="A126" s="18" t="s">
        <v>899</v>
      </c>
      <c r="B126" s="18" t="s">
        <v>861</v>
      </c>
      <c r="C126" s="18" t="s">
        <v>862</v>
      </c>
      <c r="D126" s="18" t="s">
        <v>900</v>
      </c>
      <c r="E126" s="18" t="s">
        <v>901</v>
      </c>
      <c r="F126" s="18"/>
      <c r="G126" s="18" t="s">
        <v>902</v>
      </c>
      <c r="H126" s="18" t="s">
        <v>903</v>
      </c>
      <c r="I126" s="18" t="s">
        <v>904</v>
      </c>
      <c r="J126" s="18" t="s">
        <v>905</v>
      </c>
      <c r="K126" s="18" t="s">
        <v>310</v>
      </c>
      <c r="L126" s="18"/>
      <c r="M126" s="18" t="s">
        <v>119</v>
      </c>
      <c r="N126" s="18"/>
      <c r="O126" s="18"/>
      <c r="P126" s="18"/>
      <c r="Q126" s="18"/>
      <c r="R126" s="18"/>
    </row>
    <row r="127" ht="30" customHeight="1" spans="1:18">
      <c r="A127" s="18" t="s">
        <v>906</v>
      </c>
      <c r="B127" s="18" t="s">
        <v>861</v>
      </c>
      <c r="C127" s="18" t="s">
        <v>862</v>
      </c>
      <c r="D127" s="18" t="s">
        <v>907</v>
      </c>
      <c r="E127" s="18" t="s">
        <v>908</v>
      </c>
      <c r="F127" s="18"/>
      <c r="G127" s="18" t="s">
        <v>909</v>
      </c>
      <c r="H127" s="18" t="s">
        <v>910</v>
      </c>
      <c r="I127" s="18" t="s">
        <v>911</v>
      </c>
      <c r="J127" s="18" t="s">
        <v>912</v>
      </c>
      <c r="K127" s="18" t="s">
        <v>310</v>
      </c>
      <c r="L127" s="18"/>
      <c r="M127" s="18" t="s">
        <v>119</v>
      </c>
      <c r="N127" s="18"/>
      <c r="O127" s="18"/>
      <c r="P127" s="18"/>
      <c r="Q127" s="18"/>
      <c r="R127" s="18"/>
    </row>
    <row r="128" ht="30" customHeight="1" spans="1:18">
      <c r="A128" s="18" t="s">
        <v>913</v>
      </c>
      <c r="B128" s="18" t="s">
        <v>861</v>
      </c>
      <c r="C128" s="18" t="s">
        <v>862</v>
      </c>
      <c r="D128" s="18" t="s">
        <v>914</v>
      </c>
      <c r="E128" s="18" t="s">
        <v>915</v>
      </c>
      <c r="F128" s="18"/>
      <c r="G128" s="18" t="s">
        <v>916</v>
      </c>
      <c r="H128" s="18" t="s">
        <v>917</v>
      </c>
      <c r="I128" s="18" t="s">
        <v>918</v>
      </c>
      <c r="J128" s="18" t="s">
        <v>919</v>
      </c>
      <c r="K128" s="18" t="s">
        <v>310</v>
      </c>
      <c r="L128" s="18"/>
      <c r="M128" s="18" t="s">
        <v>119</v>
      </c>
      <c r="N128" s="18"/>
      <c r="O128" s="18"/>
      <c r="P128" s="18"/>
      <c r="Q128" s="18"/>
      <c r="R128" s="18"/>
    </row>
    <row r="129" ht="30" customHeight="1" spans="1:18">
      <c r="A129" s="18" t="s">
        <v>920</v>
      </c>
      <c r="B129" s="18" t="s">
        <v>861</v>
      </c>
      <c r="C129" s="18" t="s">
        <v>862</v>
      </c>
      <c r="D129" s="18" t="s">
        <v>921</v>
      </c>
      <c r="E129" s="18" t="s">
        <v>113</v>
      </c>
      <c r="F129" s="18"/>
      <c r="G129" s="18" t="s">
        <v>922</v>
      </c>
      <c r="H129" s="18" t="s">
        <v>923</v>
      </c>
      <c r="I129" s="18" t="s">
        <v>924</v>
      </c>
      <c r="J129" s="18" t="s">
        <v>925</v>
      </c>
      <c r="K129" s="18" t="s">
        <v>310</v>
      </c>
      <c r="L129" s="18"/>
      <c r="M129" s="18" t="s">
        <v>119</v>
      </c>
      <c r="N129" s="18"/>
      <c r="O129" s="18"/>
      <c r="P129" s="18"/>
      <c r="Q129" s="18"/>
      <c r="R129" s="18"/>
    </row>
    <row r="130" ht="30" customHeight="1" spans="1:18">
      <c r="A130" s="18" t="s">
        <v>926</v>
      </c>
      <c r="B130" s="18" t="s">
        <v>861</v>
      </c>
      <c r="C130" s="18" t="s">
        <v>862</v>
      </c>
      <c r="D130" s="18" t="s">
        <v>927</v>
      </c>
      <c r="E130" s="18" t="s">
        <v>928</v>
      </c>
      <c r="F130" s="18"/>
      <c r="G130" s="18" t="s">
        <v>929</v>
      </c>
      <c r="H130" s="18" t="s">
        <v>930</v>
      </c>
      <c r="I130" s="18" t="s">
        <v>931</v>
      </c>
      <c r="J130" s="18" t="s">
        <v>932</v>
      </c>
      <c r="K130" s="18" t="s">
        <v>349</v>
      </c>
      <c r="L130" s="18"/>
      <c r="M130" s="18" t="s">
        <v>119</v>
      </c>
      <c r="N130" s="18"/>
      <c r="O130" s="18"/>
      <c r="P130" s="18"/>
      <c r="Q130" s="18"/>
      <c r="R130" s="18"/>
    </row>
    <row r="131" ht="30" customHeight="1" spans="1:18">
      <c r="A131" s="18" t="s">
        <v>933</v>
      </c>
      <c r="B131" s="18" t="s">
        <v>552</v>
      </c>
      <c r="C131" s="18" t="s">
        <v>862</v>
      </c>
      <c r="D131" s="18" t="s">
        <v>934</v>
      </c>
      <c r="E131" s="18" t="s">
        <v>935</v>
      </c>
      <c r="F131" s="18"/>
      <c r="G131" s="18" t="s">
        <v>936</v>
      </c>
      <c r="H131" s="18" t="s">
        <v>937</v>
      </c>
      <c r="I131" s="18" t="s">
        <v>938</v>
      </c>
      <c r="J131" s="18" t="s">
        <v>939</v>
      </c>
      <c r="K131" s="18" t="s">
        <v>310</v>
      </c>
      <c r="L131" s="18"/>
      <c r="M131" s="18" t="s">
        <v>119</v>
      </c>
      <c r="N131" s="18"/>
      <c r="O131" s="18"/>
      <c r="P131" s="18"/>
      <c r="Q131" s="18"/>
      <c r="R131" s="18"/>
    </row>
    <row r="132" ht="30" customHeight="1" spans="1:18">
      <c r="A132" s="18" t="s">
        <v>940</v>
      </c>
      <c r="B132" s="18" t="s">
        <v>552</v>
      </c>
      <c r="C132" s="18" t="s">
        <v>862</v>
      </c>
      <c r="D132" s="18" t="s">
        <v>941</v>
      </c>
      <c r="E132" s="18" t="s">
        <v>942</v>
      </c>
      <c r="F132" s="18"/>
      <c r="G132" s="18" t="s">
        <v>943</v>
      </c>
      <c r="H132" s="18" t="s">
        <v>944</v>
      </c>
      <c r="I132" s="18" t="s">
        <v>945</v>
      </c>
      <c r="J132" s="18" t="s">
        <v>946</v>
      </c>
      <c r="K132" s="18" t="s">
        <v>207</v>
      </c>
      <c r="L132" s="18"/>
      <c r="M132" s="18" t="s">
        <v>119</v>
      </c>
      <c r="N132" s="18"/>
      <c r="O132" s="18"/>
      <c r="P132" s="18"/>
      <c r="Q132" s="18"/>
      <c r="R132" s="18"/>
    </row>
    <row r="133" ht="30" customHeight="1" spans="1:18">
      <c r="A133" s="18" t="s">
        <v>947</v>
      </c>
      <c r="B133" s="18" t="s">
        <v>552</v>
      </c>
      <c r="C133" s="18" t="s">
        <v>862</v>
      </c>
      <c r="D133" s="18" t="s">
        <v>948</v>
      </c>
      <c r="E133" s="18" t="s">
        <v>113</v>
      </c>
      <c r="F133" s="18"/>
      <c r="G133" s="18" t="s">
        <v>949</v>
      </c>
      <c r="H133" s="18" t="s">
        <v>950</v>
      </c>
      <c r="I133" s="18" t="s">
        <v>951</v>
      </c>
      <c r="J133" s="18" t="s">
        <v>952</v>
      </c>
      <c r="K133" s="18" t="s">
        <v>310</v>
      </c>
      <c r="L133" s="18"/>
      <c r="M133" s="18" t="s">
        <v>119</v>
      </c>
      <c r="N133" s="18"/>
      <c r="O133" s="18"/>
      <c r="P133" s="18"/>
      <c r="Q133" s="18"/>
      <c r="R133" s="18"/>
    </row>
    <row r="134" ht="30" customHeight="1" spans="1:18">
      <c r="A134" s="18" t="s">
        <v>953</v>
      </c>
      <c r="B134" s="18" t="s">
        <v>954</v>
      </c>
      <c r="C134" s="18" t="s">
        <v>862</v>
      </c>
      <c r="D134" s="18" t="s">
        <v>955</v>
      </c>
      <c r="E134" s="18" t="s">
        <v>113</v>
      </c>
      <c r="F134" s="18"/>
      <c r="G134" s="18" t="s">
        <v>956</v>
      </c>
      <c r="H134" s="18" t="s">
        <v>957</v>
      </c>
      <c r="I134" s="18" t="s">
        <v>958</v>
      </c>
      <c r="J134" s="18" t="s">
        <v>959</v>
      </c>
      <c r="K134" s="18" t="s">
        <v>349</v>
      </c>
      <c r="L134" s="18"/>
      <c r="M134" s="18" t="s">
        <v>119</v>
      </c>
      <c r="N134" s="18"/>
      <c r="O134" s="18"/>
      <c r="P134" s="18"/>
      <c r="Q134" s="18"/>
      <c r="R134" s="18"/>
    </row>
    <row r="135" ht="30" customHeight="1" spans="1:18">
      <c r="A135" s="18" t="s">
        <v>960</v>
      </c>
      <c r="B135" s="18" t="s">
        <v>552</v>
      </c>
      <c r="C135" s="18" t="s">
        <v>961</v>
      </c>
      <c r="D135" s="18" t="s">
        <v>962</v>
      </c>
      <c r="E135" s="18" t="s">
        <v>113</v>
      </c>
      <c r="F135" s="18"/>
      <c r="G135" s="18" t="s">
        <v>963</v>
      </c>
      <c r="H135" s="18" t="s">
        <v>964</v>
      </c>
      <c r="I135" s="18" t="s">
        <v>965</v>
      </c>
      <c r="J135" s="18" t="s">
        <v>966</v>
      </c>
      <c r="K135" s="18" t="s">
        <v>310</v>
      </c>
      <c r="L135" s="18"/>
      <c r="M135" s="18" t="s">
        <v>119</v>
      </c>
      <c r="N135" s="18"/>
      <c r="O135" s="18"/>
      <c r="P135" s="18"/>
      <c r="Q135" s="18"/>
      <c r="R135" s="18"/>
    </row>
    <row r="136" ht="30" customHeight="1" spans="1:18">
      <c r="A136" s="18" t="s">
        <v>967</v>
      </c>
      <c r="B136" s="18" t="s">
        <v>552</v>
      </c>
      <c r="C136" s="18" t="s">
        <v>961</v>
      </c>
      <c r="D136" s="18" t="s">
        <v>968</v>
      </c>
      <c r="E136" s="18" t="s">
        <v>113</v>
      </c>
      <c r="F136" s="18"/>
      <c r="G136" s="18" t="s">
        <v>969</v>
      </c>
      <c r="H136" s="18" t="s">
        <v>970</v>
      </c>
      <c r="I136" s="18" t="s">
        <v>971</v>
      </c>
      <c r="J136" s="18" t="s">
        <v>972</v>
      </c>
      <c r="K136" s="18" t="s">
        <v>310</v>
      </c>
      <c r="L136" s="18"/>
      <c r="M136" s="18" t="s">
        <v>119</v>
      </c>
      <c r="N136" s="18"/>
      <c r="O136" s="18"/>
      <c r="P136" s="18"/>
      <c r="Q136" s="18"/>
      <c r="R136" s="18"/>
    </row>
    <row r="137" ht="30" customHeight="1" spans="1:18">
      <c r="A137" s="18" t="s">
        <v>973</v>
      </c>
      <c r="B137" s="18" t="s">
        <v>552</v>
      </c>
      <c r="C137" s="18" t="s">
        <v>961</v>
      </c>
      <c r="D137" s="18" t="s">
        <v>974</v>
      </c>
      <c r="E137" s="18" t="s">
        <v>113</v>
      </c>
      <c r="F137" s="18"/>
      <c r="G137" s="18" t="s">
        <v>975</v>
      </c>
      <c r="H137" s="18" t="s">
        <v>976</v>
      </c>
      <c r="I137" s="18" t="s">
        <v>977</v>
      </c>
      <c r="J137" s="18" t="s">
        <v>978</v>
      </c>
      <c r="K137" s="18" t="s">
        <v>349</v>
      </c>
      <c r="L137" s="18"/>
      <c r="M137" s="18" t="s">
        <v>119</v>
      </c>
      <c r="N137" s="18"/>
      <c r="O137" s="18"/>
      <c r="P137" s="18"/>
      <c r="Q137" s="18"/>
      <c r="R137" s="18"/>
    </row>
    <row r="138" ht="30" customHeight="1" spans="1:18">
      <c r="A138" s="18" t="s">
        <v>979</v>
      </c>
      <c r="B138" s="18" t="s">
        <v>552</v>
      </c>
      <c r="C138" s="18" t="s">
        <v>961</v>
      </c>
      <c r="D138" s="18" t="s">
        <v>980</v>
      </c>
      <c r="E138" s="18" t="s">
        <v>113</v>
      </c>
      <c r="F138" s="18"/>
      <c r="G138" s="18" t="s">
        <v>981</v>
      </c>
      <c r="H138" s="18" t="s">
        <v>982</v>
      </c>
      <c r="I138" s="18" t="s">
        <v>340</v>
      </c>
      <c r="J138" s="18" t="s">
        <v>983</v>
      </c>
      <c r="K138" s="18" t="s">
        <v>349</v>
      </c>
      <c r="L138" s="18"/>
      <c r="M138" s="18" t="s">
        <v>119</v>
      </c>
      <c r="N138" s="18"/>
      <c r="O138" s="18"/>
      <c r="P138" s="18"/>
      <c r="Q138" s="18"/>
      <c r="R138" s="18"/>
    </row>
    <row r="139" ht="30" customHeight="1" spans="1:18">
      <c r="A139" s="18" t="s">
        <v>984</v>
      </c>
      <c r="B139" s="18" t="s">
        <v>552</v>
      </c>
      <c r="C139" s="18" t="s">
        <v>961</v>
      </c>
      <c r="D139" s="18" t="s">
        <v>985</v>
      </c>
      <c r="E139" s="18" t="s">
        <v>986</v>
      </c>
      <c r="F139" s="18"/>
      <c r="G139" s="18" t="s">
        <v>987</v>
      </c>
      <c r="H139" s="18" t="s">
        <v>988</v>
      </c>
      <c r="I139" s="18" t="s">
        <v>989</v>
      </c>
      <c r="J139" s="18" t="s">
        <v>990</v>
      </c>
      <c r="K139" s="18" t="s">
        <v>349</v>
      </c>
      <c r="L139" s="18"/>
      <c r="M139" s="18" t="s">
        <v>119</v>
      </c>
      <c r="N139" s="18"/>
      <c r="O139" s="18"/>
      <c r="P139" s="18"/>
      <c r="Q139" s="18"/>
      <c r="R139" s="18"/>
    </row>
    <row r="140" ht="30" customHeight="1" spans="1:18">
      <c r="A140" s="18" t="s">
        <v>991</v>
      </c>
      <c r="B140" s="18" t="s">
        <v>552</v>
      </c>
      <c r="C140" s="18" t="s">
        <v>961</v>
      </c>
      <c r="D140" s="18" t="s">
        <v>992</v>
      </c>
      <c r="E140" s="18" t="s">
        <v>993</v>
      </c>
      <c r="F140" s="18"/>
      <c r="G140" s="18" t="s">
        <v>994</v>
      </c>
      <c r="H140" s="18" t="s">
        <v>995</v>
      </c>
      <c r="I140" s="18" t="s">
        <v>996</v>
      </c>
      <c r="J140" s="18" t="s">
        <v>997</v>
      </c>
      <c r="K140" s="18" t="s">
        <v>207</v>
      </c>
      <c r="L140" s="18"/>
      <c r="M140" s="18" t="s">
        <v>119</v>
      </c>
      <c r="N140" s="18"/>
      <c r="O140" s="18"/>
      <c r="P140" s="18"/>
      <c r="Q140" s="18"/>
      <c r="R140" s="18"/>
    </row>
    <row r="141" ht="30" customHeight="1" spans="1:18">
      <c r="A141" s="18" t="s">
        <v>998</v>
      </c>
      <c r="B141" s="18" t="s">
        <v>552</v>
      </c>
      <c r="C141" s="18" t="s">
        <v>961</v>
      </c>
      <c r="D141" s="18" t="s">
        <v>999</v>
      </c>
      <c r="E141" s="18" t="s">
        <v>1000</v>
      </c>
      <c r="F141" s="18"/>
      <c r="G141" s="18" t="s">
        <v>1001</v>
      </c>
      <c r="H141" s="18" t="s">
        <v>1002</v>
      </c>
      <c r="I141" s="18" t="s">
        <v>1003</v>
      </c>
      <c r="J141" s="18" t="s">
        <v>1004</v>
      </c>
      <c r="K141" s="18" t="s">
        <v>349</v>
      </c>
      <c r="L141" s="18"/>
      <c r="M141" s="18" t="s">
        <v>119</v>
      </c>
      <c r="N141" s="18"/>
      <c r="O141" s="18"/>
      <c r="P141" s="18"/>
      <c r="Q141" s="18"/>
      <c r="R141" s="18"/>
    </row>
    <row r="142" ht="30" customHeight="1" spans="1:18">
      <c r="A142" s="18" t="s">
        <v>1005</v>
      </c>
      <c r="B142" s="18" t="s">
        <v>552</v>
      </c>
      <c r="C142" s="18" t="s">
        <v>961</v>
      </c>
      <c r="D142" s="18" t="s">
        <v>1006</v>
      </c>
      <c r="E142" s="18" t="s">
        <v>1007</v>
      </c>
      <c r="F142" s="18"/>
      <c r="G142" s="18" t="s">
        <v>1008</v>
      </c>
      <c r="H142" s="18" t="s">
        <v>1009</v>
      </c>
      <c r="I142" s="18" t="s">
        <v>1010</v>
      </c>
      <c r="J142" s="18" t="s">
        <v>1011</v>
      </c>
      <c r="K142" s="18" t="s">
        <v>349</v>
      </c>
      <c r="L142" s="18"/>
      <c r="M142" s="18" t="s">
        <v>119</v>
      </c>
      <c r="N142" s="18"/>
      <c r="O142" s="18"/>
      <c r="P142" s="18"/>
      <c r="Q142" s="18"/>
      <c r="R142" s="18"/>
    </row>
    <row r="143" ht="30" customHeight="1" spans="1:18">
      <c r="A143" s="18" t="s">
        <v>1012</v>
      </c>
      <c r="B143" s="18" t="s">
        <v>552</v>
      </c>
      <c r="C143" s="18" t="s">
        <v>961</v>
      </c>
      <c r="D143" s="18" t="s">
        <v>1013</v>
      </c>
      <c r="E143" s="18" t="s">
        <v>1014</v>
      </c>
      <c r="F143" s="18"/>
      <c r="G143" s="18" t="s">
        <v>1015</v>
      </c>
      <c r="H143" s="18" t="s">
        <v>1016</v>
      </c>
      <c r="I143" s="18" t="s">
        <v>1017</v>
      </c>
      <c r="J143" s="18" t="s">
        <v>1018</v>
      </c>
      <c r="K143" s="18" t="s">
        <v>349</v>
      </c>
      <c r="L143" s="18"/>
      <c r="M143" s="18" t="s">
        <v>119</v>
      </c>
      <c r="N143" s="18"/>
      <c r="O143" s="18"/>
      <c r="P143" s="18"/>
      <c r="Q143" s="18"/>
      <c r="R143" s="18"/>
    </row>
    <row r="144" ht="30" customHeight="1" spans="1:18">
      <c r="A144" s="18" t="s">
        <v>1019</v>
      </c>
      <c r="B144" s="18" t="s">
        <v>552</v>
      </c>
      <c r="C144" s="18" t="s">
        <v>961</v>
      </c>
      <c r="D144" s="18" t="s">
        <v>1020</v>
      </c>
      <c r="E144" s="18" t="s">
        <v>113</v>
      </c>
      <c r="F144" s="18"/>
      <c r="G144" s="18" t="s">
        <v>1021</v>
      </c>
      <c r="H144" s="18" t="s">
        <v>1022</v>
      </c>
      <c r="I144" s="18" t="s">
        <v>1023</v>
      </c>
      <c r="J144" s="18" t="s">
        <v>1024</v>
      </c>
      <c r="K144" s="18" t="s">
        <v>349</v>
      </c>
      <c r="L144" s="18"/>
      <c r="M144" s="18" t="s">
        <v>119</v>
      </c>
      <c r="N144" s="18"/>
      <c r="O144" s="18"/>
      <c r="P144" s="18"/>
      <c r="Q144" s="18"/>
      <c r="R144" s="18"/>
    </row>
    <row r="145" ht="30" customHeight="1" spans="1:18">
      <c r="A145" s="18" t="s">
        <v>1025</v>
      </c>
      <c r="B145" s="18" t="s">
        <v>552</v>
      </c>
      <c r="C145" s="18" t="s">
        <v>961</v>
      </c>
      <c r="D145" s="18" t="s">
        <v>1026</v>
      </c>
      <c r="E145" s="18" t="s">
        <v>1027</v>
      </c>
      <c r="F145" s="18"/>
      <c r="G145" s="18" t="s">
        <v>1028</v>
      </c>
      <c r="H145" s="18" t="s">
        <v>1029</v>
      </c>
      <c r="I145" s="18" t="s">
        <v>1030</v>
      </c>
      <c r="J145" s="18" t="s">
        <v>1031</v>
      </c>
      <c r="K145" s="18" t="s">
        <v>349</v>
      </c>
      <c r="L145" s="18"/>
      <c r="M145" s="18" t="s">
        <v>119</v>
      </c>
      <c r="N145" s="18"/>
      <c r="O145" s="18"/>
      <c r="P145" s="18"/>
      <c r="Q145" s="18"/>
      <c r="R145" s="18"/>
    </row>
    <row r="146" ht="30" customHeight="1" spans="1:18">
      <c r="A146" s="18" t="s">
        <v>1032</v>
      </c>
      <c r="B146" s="18" t="s">
        <v>552</v>
      </c>
      <c r="C146" s="18" t="s">
        <v>961</v>
      </c>
      <c r="D146" s="18" t="s">
        <v>1033</v>
      </c>
      <c r="E146" s="18" t="s">
        <v>113</v>
      </c>
      <c r="F146" s="18"/>
      <c r="G146" s="18" t="s">
        <v>1034</v>
      </c>
      <c r="H146" s="18" t="s">
        <v>1035</v>
      </c>
      <c r="I146" s="18" t="s">
        <v>1036</v>
      </c>
      <c r="J146" s="18" t="s">
        <v>1037</v>
      </c>
      <c r="K146" s="18" t="s">
        <v>349</v>
      </c>
      <c r="L146" s="18"/>
      <c r="M146" s="18" t="s">
        <v>119</v>
      </c>
      <c r="N146" s="18"/>
      <c r="O146" s="18"/>
      <c r="P146" s="18"/>
      <c r="Q146" s="18"/>
      <c r="R146" s="18"/>
    </row>
    <row r="147" ht="30" customHeight="1" spans="1:18">
      <c r="A147" s="18" t="s">
        <v>1038</v>
      </c>
      <c r="B147" s="18" t="s">
        <v>1039</v>
      </c>
      <c r="C147" s="18" t="s">
        <v>1040</v>
      </c>
      <c r="D147" s="18" t="s">
        <v>1041</v>
      </c>
      <c r="E147" s="18" t="s">
        <v>113</v>
      </c>
      <c r="F147" s="18"/>
      <c r="G147" s="18" t="s">
        <v>1042</v>
      </c>
      <c r="H147" s="18" t="s">
        <v>1043</v>
      </c>
      <c r="I147" s="18" t="s">
        <v>1044</v>
      </c>
      <c r="J147" s="18" t="s">
        <v>1045</v>
      </c>
      <c r="K147" s="18" t="s">
        <v>349</v>
      </c>
      <c r="L147" s="18"/>
      <c r="M147" s="18" t="s">
        <v>119</v>
      </c>
      <c r="N147" s="18"/>
      <c r="O147" s="18"/>
      <c r="P147" s="18"/>
      <c r="Q147" s="18"/>
      <c r="R147" s="18"/>
    </row>
    <row r="148" ht="30" customHeight="1" spans="1:18">
      <c r="A148" s="18" t="s">
        <v>1046</v>
      </c>
      <c r="B148" s="18" t="s">
        <v>1039</v>
      </c>
      <c r="C148" s="18" t="s">
        <v>1040</v>
      </c>
      <c r="D148" s="18" t="s">
        <v>1047</v>
      </c>
      <c r="E148" s="18" t="s">
        <v>1048</v>
      </c>
      <c r="F148" s="18"/>
      <c r="G148" s="18" t="s">
        <v>1049</v>
      </c>
      <c r="H148" s="18" t="s">
        <v>1050</v>
      </c>
      <c r="I148" s="18" t="s">
        <v>1051</v>
      </c>
      <c r="J148" s="18" t="s">
        <v>1052</v>
      </c>
      <c r="K148" s="18" t="s">
        <v>349</v>
      </c>
      <c r="L148" s="18"/>
      <c r="M148" s="18" t="s">
        <v>119</v>
      </c>
      <c r="N148" s="18"/>
      <c r="O148" s="18"/>
      <c r="P148" s="18"/>
      <c r="Q148" s="18"/>
      <c r="R148" s="18"/>
    </row>
    <row r="149" ht="30" customHeight="1" spans="1:18">
      <c r="A149" s="18" t="s">
        <v>1053</v>
      </c>
      <c r="B149" s="18" t="s">
        <v>1039</v>
      </c>
      <c r="C149" s="18" t="s">
        <v>1040</v>
      </c>
      <c r="D149" s="18" t="s">
        <v>1054</v>
      </c>
      <c r="E149" s="18" t="s">
        <v>1055</v>
      </c>
      <c r="F149" s="18"/>
      <c r="G149" s="18" t="s">
        <v>1056</v>
      </c>
      <c r="H149" s="18" t="s">
        <v>1057</v>
      </c>
      <c r="I149" s="18" t="s">
        <v>1058</v>
      </c>
      <c r="J149" s="18" t="s">
        <v>1059</v>
      </c>
      <c r="K149" s="18" t="s">
        <v>349</v>
      </c>
      <c r="L149" s="18"/>
      <c r="M149" s="18" t="s">
        <v>119</v>
      </c>
      <c r="N149" s="18"/>
      <c r="O149" s="18"/>
      <c r="P149" s="18"/>
      <c r="Q149" s="18"/>
      <c r="R149" s="18"/>
    </row>
    <row r="150" ht="30" customHeight="1" spans="1:18">
      <c r="A150" s="18" t="s">
        <v>1060</v>
      </c>
      <c r="B150" s="18" t="s">
        <v>1039</v>
      </c>
      <c r="C150" s="18" t="s">
        <v>1040</v>
      </c>
      <c r="D150" s="18" t="s">
        <v>1061</v>
      </c>
      <c r="E150" s="18" t="s">
        <v>113</v>
      </c>
      <c r="F150" s="18"/>
      <c r="G150" s="18" t="s">
        <v>1062</v>
      </c>
      <c r="H150" s="18" t="s">
        <v>1063</v>
      </c>
      <c r="I150" s="18" t="s">
        <v>1064</v>
      </c>
      <c r="J150" s="18" t="s">
        <v>1065</v>
      </c>
      <c r="K150" s="18" t="s">
        <v>349</v>
      </c>
      <c r="L150" s="18"/>
      <c r="M150" s="18" t="s">
        <v>119</v>
      </c>
      <c r="N150" s="18"/>
      <c r="O150" s="18"/>
      <c r="P150" s="18"/>
      <c r="Q150" s="18"/>
      <c r="R150" s="18"/>
    </row>
    <row r="151" ht="30" customHeight="1" spans="1:18">
      <c r="A151" s="18" t="s">
        <v>1066</v>
      </c>
      <c r="B151" s="18" t="s">
        <v>1039</v>
      </c>
      <c r="C151" s="18" t="s">
        <v>1040</v>
      </c>
      <c r="D151" s="18" t="s">
        <v>1067</v>
      </c>
      <c r="E151" s="18" t="s">
        <v>113</v>
      </c>
      <c r="F151" s="18"/>
      <c r="G151" s="18" t="s">
        <v>1068</v>
      </c>
      <c r="H151" s="18" t="s">
        <v>1069</v>
      </c>
      <c r="I151" s="18" t="s">
        <v>1070</v>
      </c>
      <c r="J151" s="18" t="s">
        <v>1071</v>
      </c>
      <c r="K151" s="18" t="s">
        <v>349</v>
      </c>
      <c r="L151" s="18"/>
      <c r="M151" s="18" t="s">
        <v>119</v>
      </c>
      <c r="N151" s="18"/>
      <c r="O151" s="18"/>
      <c r="P151" s="18"/>
      <c r="Q151" s="18"/>
      <c r="R151" s="18"/>
    </row>
    <row r="152" ht="30" customHeight="1" spans="1:18">
      <c r="A152" s="18" t="s">
        <v>1072</v>
      </c>
      <c r="B152" s="18" t="s">
        <v>1039</v>
      </c>
      <c r="C152" s="18" t="s">
        <v>1040</v>
      </c>
      <c r="D152" s="18" t="s">
        <v>1073</v>
      </c>
      <c r="E152" s="18" t="s">
        <v>113</v>
      </c>
      <c r="F152" s="18"/>
      <c r="G152" s="18" t="s">
        <v>1074</v>
      </c>
      <c r="H152" s="18" t="s">
        <v>1075</v>
      </c>
      <c r="I152" s="18" t="s">
        <v>1058</v>
      </c>
      <c r="J152" s="18" t="s">
        <v>1076</v>
      </c>
      <c r="K152" s="18" t="s">
        <v>349</v>
      </c>
      <c r="L152" s="18"/>
      <c r="M152" s="18" t="s">
        <v>119</v>
      </c>
      <c r="N152" s="18"/>
      <c r="O152" s="18"/>
      <c r="P152" s="18"/>
      <c r="Q152" s="18"/>
      <c r="R152" s="18"/>
    </row>
    <row r="153" ht="30" customHeight="1" spans="1:18">
      <c r="A153" s="18" t="s">
        <v>1077</v>
      </c>
      <c r="B153" s="18" t="s">
        <v>1039</v>
      </c>
      <c r="C153" s="18" t="s">
        <v>1040</v>
      </c>
      <c r="D153" s="18" t="s">
        <v>1078</v>
      </c>
      <c r="E153" s="18" t="s">
        <v>113</v>
      </c>
      <c r="F153" s="18"/>
      <c r="G153" s="18" t="s">
        <v>1079</v>
      </c>
      <c r="H153" s="18" t="s">
        <v>1080</v>
      </c>
      <c r="I153" s="18" t="s">
        <v>1058</v>
      </c>
      <c r="J153" s="18" t="s">
        <v>1081</v>
      </c>
      <c r="K153" s="18" t="s">
        <v>349</v>
      </c>
      <c r="L153" s="18"/>
      <c r="M153" s="18" t="s">
        <v>119</v>
      </c>
      <c r="N153" s="18"/>
      <c r="O153" s="18"/>
      <c r="P153" s="18"/>
      <c r="Q153" s="18"/>
      <c r="R153" s="18"/>
    </row>
    <row r="154" ht="30" customHeight="1" spans="1:18">
      <c r="A154" s="18" t="s">
        <v>1082</v>
      </c>
      <c r="B154" s="18" t="s">
        <v>1039</v>
      </c>
      <c r="C154" s="18" t="s">
        <v>1040</v>
      </c>
      <c r="D154" s="18" t="s">
        <v>1083</v>
      </c>
      <c r="E154" s="18" t="s">
        <v>113</v>
      </c>
      <c r="F154" s="18"/>
      <c r="G154" s="18" t="s">
        <v>1084</v>
      </c>
      <c r="H154" s="18" t="s">
        <v>1085</v>
      </c>
      <c r="I154" s="18" t="s">
        <v>1086</v>
      </c>
      <c r="J154" s="18" t="s">
        <v>1087</v>
      </c>
      <c r="K154" s="18" t="s">
        <v>741</v>
      </c>
      <c r="L154" s="18"/>
      <c r="M154" s="18" t="s">
        <v>119</v>
      </c>
      <c r="N154" s="18"/>
      <c r="O154" s="18"/>
      <c r="P154" s="18"/>
      <c r="Q154" s="18"/>
      <c r="R154" s="18"/>
    </row>
    <row r="155" ht="30" customHeight="1" spans="1:18">
      <c r="A155" s="18" t="s">
        <v>1088</v>
      </c>
      <c r="B155" s="18" t="s">
        <v>1039</v>
      </c>
      <c r="C155" s="18" t="s">
        <v>1040</v>
      </c>
      <c r="D155" s="18" t="s">
        <v>1089</v>
      </c>
      <c r="E155" s="18" t="s">
        <v>113</v>
      </c>
      <c r="F155" s="18"/>
      <c r="G155" s="18" t="s">
        <v>1090</v>
      </c>
      <c r="H155" s="18" t="s">
        <v>1091</v>
      </c>
      <c r="I155" s="18" t="s">
        <v>1092</v>
      </c>
      <c r="J155" s="18" t="s">
        <v>1093</v>
      </c>
      <c r="K155" s="18" t="s">
        <v>349</v>
      </c>
      <c r="L155" s="18"/>
      <c r="M155" s="18" t="s">
        <v>119</v>
      </c>
      <c r="N155" s="18"/>
      <c r="O155" s="18"/>
      <c r="P155" s="18"/>
      <c r="Q155" s="18"/>
      <c r="R155" s="18"/>
    </row>
    <row r="156" ht="30" customHeight="1" spans="1:18">
      <c r="A156" s="18" t="s">
        <v>1094</v>
      </c>
      <c r="B156" s="18" t="s">
        <v>1039</v>
      </c>
      <c r="C156" s="18" t="s">
        <v>1040</v>
      </c>
      <c r="D156" s="18" t="s">
        <v>1095</v>
      </c>
      <c r="E156" s="18" t="s">
        <v>113</v>
      </c>
      <c r="F156" s="18"/>
      <c r="G156" s="18" t="s">
        <v>1096</v>
      </c>
      <c r="H156" s="18" t="s">
        <v>1097</v>
      </c>
      <c r="I156" s="18" t="s">
        <v>1092</v>
      </c>
      <c r="J156" s="18" t="s">
        <v>1098</v>
      </c>
      <c r="K156" s="18" t="s">
        <v>349</v>
      </c>
      <c r="L156" s="18"/>
      <c r="M156" s="18" t="s">
        <v>119</v>
      </c>
      <c r="N156" s="18"/>
      <c r="O156" s="18"/>
      <c r="P156" s="18"/>
      <c r="Q156" s="18"/>
      <c r="R156" s="18"/>
    </row>
    <row r="157" ht="30" customHeight="1" spans="1:18">
      <c r="A157" s="18" t="s">
        <v>1099</v>
      </c>
      <c r="B157" s="18" t="s">
        <v>1039</v>
      </c>
      <c r="C157" s="18" t="s">
        <v>1040</v>
      </c>
      <c r="D157" s="18" t="s">
        <v>1100</v>
      </c>
      <c r="E157" s="18" t="s">
        <v>113</v>
      </c>
      <c r="F157" s="18"/>
      <c r="G157" s="18" t="s">
        <v>1101</v>
      </c>
      <c r="H157" s="18" t="s">
        <v>1102</v>
      </c>
      <c r="I157" s="18" t="s">
        <v>1086</v>
      </c>
      <c r="J157" s="18" t="s">
        <v>1103</v>
      </c>
      <c r="K157" s="18" t="s">
        <v>741</v>
      </c>
      <c r="L157" s="18"/>
      <c r="M157" s="18" t="s">
        <v>119</v>
      </c>
      <c r="N157" s="18"/>
      <c r="O157" s="18"/>
      <c r="P157" s="18"/>
      <c r="Q157" s="18"/>
      <c r="R157" s="18"/>
    </row>
    <row r="158" ht="30" customHeight="1" spans="1:18">
      <c r="A158" s="18" t="s">
        <v>1104</v>
      </c>
      <c r="B158" s="18" t="s">
        <v>1039</v>
      </c>
      <c r="C158" s="18" t="s">
        <v>1040</v>
      </c>
      <c r="D158" s="18" t="s">
        <v>1105</v>
      </c>
      <c r="E158" s="18" t="s">
        <v>113</v>
      </c>
      <c r="F158" s="18"/>
      <c r="G158" s="18" t="s">
        <v>1106</v>
      </c>
      <c r="H158" s="18" t="s">
        <v>1107</v>
      </c>
      <c r="I158" s="18" t="s">
        <v>1108</v>
      </c>
      <c r="J158" s="18" t="s">
        <v>1109</v>
      </c>
      <c r="K158" s="18" t="s">
        <v>741</v>
      </c>
      <c r="L158" s="18"/>
      <c r="M158" s="18" t="s">
        <v>119</v>
      </c>
      <c r="N158" s="18"/>
      <c r="O158" s="18"/>
      <c r="P158" s="18"/>
      <c r="Q158" s="18"/>
      <c r="R158" s="18"/>
    </row>
    <row r="159" ht="30" customHeight="1" spans="1:18">
      <c r="A159" s="18" t="s">
        <v>1110</v>
      </c>
      <c r="B159" s="18" t="s">
        <v>1039</v>
      </c>
      <c r="C159" s="18" t="s">
        <v>1040</v>
      </c>
      <c r="D159" s="18" t="s">
        <v>1111</v>
      </c>
      <c r="E159" s="18" t="s">
        <v>1112</v>
      </c>
      <c r="F159" s="18"/>
      <c r="G159" s="18" t="s">
        <v>1113</v>
      </c>
      <c r="H159" s="18" t="s">
        <v>1114</v>
      </c>
      <c r="I159" s="18" t="s">
        <v>1115</v>
      </c>
      <c r="J159" s="18" t="s">
        <v>1116</v>
      </c>
      <c r="K159" s="18" t="s">
        <v>349</v>
      </c>
      <c r="L159" s="18"/>
      <c r="M159" s="18" t="s">
        <v>119</v>
      </c>
      <c r="N159" s="18"/>
      <c r="O159" s="18"/>
      <c r="P159" s="18"/>
      <c r="Q159" s="18"/>
      <c r="R159" s="18"/>
    </row>
    <row r="160" ht="30" customHeight="1" spans="1:18">
      <c r="A160" s="18" t="s">
        <v>1117</v>
      </c>
      <c r="B160" s="18" t="s">
        <v>1039</v>
      </c>
      <c r="C160" s="18" t="s">
        <v>1040</v>
      </c>
      <c r="D160" s="18" t="s">
        <v>1118</v>
      </c>
      <c r="E160" s="18" t="s">
        <v>745</v>
      </c>
      <c r="F160" s="18"/>
      <c r="G160" s="18" t="s">
        <v>1119</v>
      </c>
      <c r="H160" s="18" t="s">
        <v>1120</v>
      </c>
      <c r="I160" s="18" t="s">
        <v>1121</v>
      </c>
      <c r="J160" s="18" t="s">
        <v>1122</v>
      </c>
      <c r="K160" s="18" t="s">
        <v>349</v>
      </c>
      <c r="L160" s="18"/>
      <c r="M160" s="18" t="s">
        <v>119</v>
      </c>
      <c r="N160" s="18"/>
      <c r="O160" s="18"/>
      <c r="P160" s="18"/>
      <c r="Q160" s="18"/>
      <c r="R160" s="18"/>
    </row>
    <row r="161" ht="30" customHeight="1" spans="1:18">
      <c r="A161" s="18" t="s">
        <v>1123</v>
      </c>
      <c r="B161" s="18" t="s">
        <v>1039</v>
      </c>
      <c r="C161" s="18" t="s">
        <v>1040</v>
      </c>
      <c r="D161" s="18" t="s">
        <v>1124</v>
      </c>
      <c r="E161" s="18" t="s">
        <v>1125</v>
      </c>
      <c r="F161" s="18"/>
      <c r="G161" s="18" t="s">
        <v>1126</v>
      </c>
      <c r="H161" s="18" t="s">
        <v>1127</v>
      </c>
      <c r="I161" s="18" t="s">
        <v>1128</v>
      </c>
      <c r="J161" s="18" t="s">
        <v>1129</v>
      </c>
      <c r="K161" s="18" t="s">
        <v>349</v>
      </c>
      <c r="L161" s="18"/>
      <c r="M161" s="18" t="s">
        <v>119</v>
      </c>
      <c r="N161" s="18"/>
      <c r="O161" s="18"/>
      <c r="P161" s="18"/>
      <c r="Q161" s="18"/>
      <c r="R161" s="18"/>
    </row>
    <row r="162" ht="30" customHeight="1" spans="1:18">
      <c r="A162" s="18" t="s">
        <v>1130</v>
      </c>
      <c r="B162" s="18" t="s">
        <v>1039</v>
      </c>
      <c r="C162" s="18" t="s">
        <v>1040</v>
      </c>
      <c r="D162" s="18" t="s">
        <v>1131</v>
      </c>
      <c r="E162" s="18" t="s">
        <v>113</v>
      </c>
      <c r="F162" s="18"/>
      <c r="G162" s="18" t="s">
        <v>1132</v>
      </c>
      <c r="H162" s="18" t="s">
        <v>1133</v>
      </c>
      <c r="I162" s="18" t="s">
        <v>1134</v>
      </c>
      <c r="J162" s="18" t="s">
        <v>1135</v>
      </c>
      <c r="K162" s="18" t="s">
        <v>741</v>
      </c>
      <c r="L162" s="18"/>
      <c r="M162" s="18" t="s">
        <v>119</v>
      </c>
      <c r="N162" s="18"/>
      <c r="O162" s="18"/>
      <c r="P162" s="18"/>
      <c r="Q162" s="18"/>
      <c r="R162" s="18"/>
    </row>
    <row r="163" ht="30" customHeight="1" spans="1:18">
      <c r="A163" s="18" t="s">
        <v>1136</v>
      </c>
      <c r="B163" s="18" t="s">
        <v>729</v>
      </c>
      <c r="C163" s="18" t="s">
        <v>1040</v>
      </c>
      <c r="D163" s="18" t="s">
        <v>1137</v>
      </c>
      <c r="E163" s="18" t="s">
        <v>113</v>
      </c>
      <c r="F163" s="18"/>
      <c r="G163" s="18" t="s">
        <v>1138</v>
      </c>
      <c r="H163" s="18" t="s">
        <v>1139</v>
      </c>
      <c r="I163" s="18" t="s">
        <v>1140</v>
      </c>
      <c r="J163" s="18" t="s">
        <v>1141</v>
      </c>
      <c r="K163" s="18" t="s">
        <v>741</v>
      </c>
      <c r="L163" s="18"/>
      <c r="M163" s="18" t="s">
        <v>119</v>
      </c>
      <c r="N163" s="18"/>
      <c r="O163" s="18"/>
      <c r="P163" s="18"/>
      <c r="Q163" s="18"/>
      <c r="R163" s="18"/>
    </row>
    <row r="164" ht="30" customHeight="1" spans="1:18">
      <c r="A164" s="18" t="s">
        <v>1142</v>
      </c>
      <c r="B164" s="18" t="s">
        <v>729</v>
      </c>
      <c r="C164" s="18" t="s">
        <v>1040</v>
      </c>
      <c r="D164" s="18" t="s">
        <v>1143</v>
      </c>
      <c r="E164" s="18" t="s">
        <v>113</v>
      </c>
      <c r="F164" s="18"/>
      <c r="G164" s="18" t="s">
        <v>1144</v>
      </c>
      <c r="H164" s="18" t="s">
        <v>1145</v>
      </c>
      <c r="I164" s="18" t="s">
        <v>1146</v>
      </c>
      <c r="J164" s="18" t="s">
        <v>1147</v>
      </c>
      <c r="K164" s="18" t="s">
        <v>1148</v>
      </c>
      <c r="L164" s="18"/>
      <c r="M164" s="18" t="s">
        <v>119</v>
      </c>
      <c r="N164" s="18"/>
      <c r="O164" s="18"/>
      <c r="P164" s="18"/>
      <c r="Q164" s="18"/>
      <c r="R164" s="18"/>
    </row>
    <row r="165" ht="30" customHeight="1" spans="1:18">
      <c r="A165" s="18" t="s">
        <v>1149</v>
      </c>
      <c r="B165" s="18" t="s">
        <v>954</v>
      </c>
      <c r="C165" s="18" t="s">
        <v>1150</v>
      </c>
      <c r="D165" s="18" t="s">
        <v>1151</v>
      </c>
      <c r="E165" s="18" t="s">
        <v>113</v>
      </c>
      <c r="F165" s="18"/>
      <c r="G165" s="18" t="s">
        <v>1152</v>
      </c>
      <c r="H165" s="18" t="s">
        <v>1153</v>
      </c>
      <c r="I165" s="18" t="s">
        <v>1154</v>
      </c>
      <c r="J165" s="18" t="s">
        <v>1155</v>
      </c>
      <c r="K165" s="18" t="s">
        <v>349</v>
      </c>
      <c r="L165" s="18"/>
      <c r="M165" s="18" t="s">
        <v>119</v>
      </c>
      <c r="N165" s="18"/>
      <c r="O165" s="18"/>
      <c r="P165" s="18"/>
      <c r="Q165" s="18"/>
      <c r="R165" s="18"/>
    </row>
    <row r="166" ht="30" customHeight="1" spans="1:18">
      <c r="A166" s="18" t="s">
        <v>1156</v>
      </c>
      <c r="B166" s="18" t="s">
        <v>954</v>
      </c>
      <c r="C166" s="18" t="s">
        <v>1150</v>
      </c>
      <c r="D166" s="18" t="s">
        <v>1157</v>
      </c>
      <c r="E166" s="18" t="s">
        <v>113</v>
      </c>
      <c r="F166" s="18"/>
      <c r="G166" s="18" t="s">
        <v>1158</v>
      </c>
      <c r="H166" s="18" t="s">
        <v>1159</v>
      </c>
      <c r="I166" s="18" t="s">
        <v>977</v>
      </c>
      <c r="J166" s="18" t="s">
        <v>1160</v>
      </c>
      <c r="K166" s="18" t="s">
        <v>349</v>
      </c>
      <c r="L166" s="18"/>
      <c r="M166" s="18" t="s">
        <v>119</v>
      </c>
      <c r="N166" s="18"/>
      <c r="O166" s="18"/>
      <c r="P166" s="18"/>
      <c r="Q166" s="18"/>
      <c r="R166" s="18"/>
    </row>
    <row r="167" ht="30" customHeight="1" spans="1:18">
      <c r="A167" s="18" t="s">
        <v>1161</v>
      </c>
      <c r="B167" s="18" t="s">
        <v>954</v>
      </c>
      <c r="C167" s="18" t="s">
        <v>1150</v>
      </c>
      <c r="D167" s="18" t="s">
        <v>1162</v>
      </c>
      <c r="E167" s="18" t="s">
        <v>113</v>
      </c>
      <c r="F167" s="18"/>
      <c r="G167" s="18" t="s">
        <v>1163</v>
      </c>
      <c r="H167" s="18" t="s">
        <v>1164</v>
      </c>
      <c r="I167" s="18" t="s">
        <v>1165</v>
      </c>
      <c r="J167" s="18" t="s">
        <v>1166</v>
      </c>
      <c r="K167" s="18" t="s">
        <v>741</v>
      </c>
      <c r="L167" s="18"/>
      <c r="M167" s="18" t="s">
        <v>119</v>
      </c>
      <c r="N167" s="18"/>
      <c r="O167" s="18"/>
      <c r="P167" s="18"/>
      <c r="Q167" s="18"/>
      <c r="R167" s="18"/>
    </row>
    <row r="168" ht="30" customHeight="1" spans="1:18">
      <c r="A168" s="18" t="s">
        <v>1167</v>
      </c>
      <c r="B168" s="18" t="s">
        <v>954</v>
      </c>
      <c r="C168" s="18" t="s">
        <v>1150</v>
      </c>
      <c r="D168" s="18" t="s">
        <v>1168</v>
      </c>
      <c r="E168" s="18" t="s">
        <v>1169</v>
      </c>
      <c r="F168" s="18"/>
      <c r="G168" s="18" t="s">
        <v>1170</v>
      </c>
      <c r="H168" s="18" t="s">
        <v>1171</v>
      </c>
      <c r="I168" s="18" t="s">
        <v>1172</v>
      </c>
      <c r="J168" s="18" t="s">
        <v>1173</v>
      </c>
      <c r="K168" s="18" t="s">
        <v>741</v>
      </c>
      <c r="L168" s="18"/>
      <c r="M168" s="18" t="s">
        <v>119</v>
      </c>
      <c r="N168" s="18"/>
      <c r="O168" s="18"/>
      <c r="P168" s="18"/>
      <c r="Q168" s="18"/>
      <c r="R168" s="18"/>
    </row>
    <row r="169" ht="30" customHeight="1" spans="1:18">
      <c r="A169" s="18" t="s">
        <v>1174</v>
      </c>
      <c r="B169" s="18" t="s">
        <v>954</v>
      </c>
      <c r="C169" s="18" t="s">
        <v>1150</v>
      </c>
      <c r="D169" s="18" t="s">
        <v>1175</v>
      </c>
      <c r="E169" s="18" t="s">
        <v>1176</v>
      </c>
      <c r="F169" s="18"/>
      <c r="G169" s="18" t="s">
        <v>791</v>
      </c>
      <c r="H169" s="18" t="s">
        <v>1177</v>
      </c>
      <c r="I169" s="18" t="s">
        <v>1178</v>
      </c>
      <c r="J169" s="18" t="s">
        <v>1179</v>
      </c>
      <c r="K169" s="18" t="s">
        <v>349</v>
      </c>
      <c r="L169" s="18"/>
      <c r="M169" s="18" t="s">
        <v>119</v>
      </c>
      <c r="N169" s="18"/>
      <c r="O169" s="18"/>
      <c r="P169" s="18"/>
      <c r="Q169" s="18"/>
      <c r="R169" s="18"/>
    </row>
    <row r="170" ht="30" customHeight="1" spans="1:18">
      <c r="A170" s="18" t="s">
        <v>1180</v>
      </c>
      <c r="B170" s="18" t="s">
        <v>954</v>
      </c>
      <c r="C170" s="18" t="s">
        <v>1150</v>
      </c>
      <c r="D170" s="18" t="s">
        <v>1181</v>
      </c>
      <c r="E170" s="18" t="s">
        <v>1182</v>
      </c>
      <c r="F170" s="18"/>
      <c r="G170" s="18" t="s">
        <v>1183</v>
      </c>
      <c r="H170" s="18" t="s">
        <v>1184</v>
      </c>
      <c r="I170" s="18" t="s">
        <v>1185</v>
      </c>
      <c r="J170" s="18" t="s">
        <v>1186</v>
      </c>
      <c r="K170" s="18" t="s">
        <v>349</v>
      </c>
      <c r="L170" s="18"/>
      <c r="M170" s="18" t="s">
        <v>119</v>
      </c>
      <c r="N170" s="18"/>
      <c r="O170" s="18"/>
      <c r="P170" s="18"/>
      <c r="Q170" s="18"/>
      <c r="R170" s="18"/>
    </row>
    <row r="171" ht="30" customHeight="1" spans="1:18">
      <c r="A171" s="18" t="s">
        <v>1187</v>
      </c>
      <c r="B171" s="18" t="s">
        <v>954</v>
      </c>
      <c r="C171" s="18" t="s">
        <v>1150</v>
      </c>
      <c r="D171" s="18" t="s">
        <v>1188</v>
      </c>
      <c r="E171" s="18" t="s">
        <v>1189</v>
      </c>
      <c r="F171" s="18"/>
      <c r="G171" s="18" t="s">
        <v>1190</v>
      </c>
      <c r="H171" s="18" t="s">
        <v>1191</v>
      </c>
      <c r="I171" s="18" t="s">
        <v>1192</v>
      </c>
      <c r="J171" s="18" t="s">
        <v>1193</v>
      </c>
      <c r="K171" s="18" t="s">
        <v>207</v>
      </c>
      <c r="L171" s="18"/>
      <c r="M171" s="18" t="s">
        <v>119</v>
      </c>
      <c r="N171" s="18"/>
      <c r="O171" s="18"/>
      <c r="P171" s="18"/>
      <c r="Q171" s="18"/>
      <c r="R171" s="18"/>
    </row>
    <row r="172" ht="30" customHeight="1" spans="1:18">
      <c r="A172" s="18" t="s">
        <v>1194</v>
      </c>
      <c r="B172" s="18" t="s">
        <v>954</v>
      </c>
      <c r="C172" s="18" t="s">
        <v>1150</v>
      </c>
      <c r="D172" s="18" t="s">
        <v>1195</v>
      </c>
      <c r="E172" s="18" t="s">
        <v>797</v>
      </c>
      <c r="F172" s="18"/>
      <c r="G172" s="18" t="s">
        <v>1196</v>
      </c>
      <c r="H172" s="18" t="s">
        <v>1197</v>
      </c>
      <c r="I172" s="18" t="s">
        <v>800</v>
      </c>
      <c r="J172" s="18" t="s">
        <v>1193</v>
      </c>
      <c r="K172" s="18" t="s">
        <v>207</v>
      </c>
      <c r="L172" s="18"/>
      <c r="M172" s="18" t="s">
        <v>119</v>
      </c>
      <c r="N172" s="18"/>
      <c r="O172" s="18"/>
      <c r="P172" s="18"/>
      <c r="Q172" s="18"/>
      <c r="R172" s="18"/>
    </row>
    <row r="173" ht="30" customHeight="1" spans="1:18">
      <c r="A173" s="18" t="s">
        <v>1198</v>
      </c>
      <c r="B173" s="18" t="s">
        <v>954</v>
      </c>
      <c r="C173" s="18" t="s">
        <v>1150</v>
      </c>
      <c r="D173" s="18" t="s">
        <v>1199</v>
      </c>
      <c r="E173" s="18" t="s">
        <v>1200</v>
      </c>
      <c r="F173" s="18"/>
      <c r="G173" s="18" t="s">
        <v>1201</v>
      </c>
      <c r="H173" s="18" t="s">
        <v>1202</v>
      </c>
      <c r="I173" s="18" t="s">
        <v>1203</v>
      </c>
      <c r="J173" s="18" t="s">
        <v>1204</v>
      </c>
      <c r="K173" s="18" t="s">
        <v>349</v>
      </c>
      <c r="L173" s="18"/>
      <c r="M173" s="18" t="s">
        <v>119</v>
      </c>
      <c r="N173" s="18"/>
      <c r="O173" s="18"/>
      <c r="P173" s="18"/>
      <c r="Q173" s="18"/>
      <c r="R173" s="18"/>
    </row>
    <row r="174" ht="30" customHeight="1" spans="1:18">
      <c r="A174" s="18" t="s">
        <v>1205</v>
      </c>
      <c r="B174" s="18" t="s">
        <v>954</v>
      </c>
      <c r="C174" s="18" t="s">
        <v>1150</v>
      </c>
      <c r="D174" s="18" t="s">
        <v>711</v>
      </c>
      <c r="E174" s="18" t="s">
        <v>113</v>
      </c>
      <c r="F174" s="18"/>
      <c r="G174" s="18" t="s">
        <v>1206</v>
      </c>
      <c r="H174" s="18" t="s">
        <v>1207</v>
      </c>
      <c r="I174" s="18" t="s">
        <v>714</v>
      </c>
      <c r="J174" s="18" t="s">
        <v>1208</v>
      </c>
      <c r="K174" s="18" t="s">
        <v>741</v>
      </c>
      <c r="L174" s="18"/>
      <c r="M174" s="18" t="s">
        <v>119</v>
      </c>
      <c r="N174" s="18"/>
      <c r="O174" s="18"/>
      <c r="P174" s="18"/>
      <c r="Q174" s="18"/>
      <c r="R174" s="18"/>
    </row>
    <row r="175" ht="30" customHeight="1" spans="1:18">
      <c r="A175" s="18" t="s">
        <v>1209</v>
      </c>
      <c r="B175" s="18" t="s">
        <v>954</v>
      </c>
      <c r="C175" s="18" t="s">
        <v>1150</v>
      </c>
      <c r="D175" s="18" t="s">
        <v>1210</v>
      </c>
      <c r="E175" s="18" t="s">
        <v>1211</v>
      </c>
      <c r="F175" s="18"/>
      <c r="G175" s="18" t="s">
        <v>1212</v>
      </c>
      <c r="H175" s="18" t="s">
        <v>1213</v>
      </c>
      <c r="I175" s="18" t="s">
        <v>1115</v>
      </c>
      <c r="J175" s="18" t="s">
        <v>1214</v>
      </c>
      <c r="K175" s="18" t="s">
        <v>741</v>
      </c>
      <c r="L175" s="18"/>
      <c r="M175" s="18" t="s">
        <v>119</v>
      </c>
      <c r="N175" s="18"/>
      <c r="O175" s="18"/>
      <c r="P175" s="18"/>
      <c r="Q175" s="18"/>
      <c r="R175" s="18"/>
    </row>
    <row r="176" ht="30" customHeight="1" spans="1:18">
      <c r="A176" s="18" t="s">
        <v>1215</v>
      </c>
      <c r="B176" s="18" t="s">
        <v>729</v>
      </c>
      <c r="C176" s="18" t="s">
        <v>1150</v>
      </c>
      <c r="D176" s="18" t="s">
        <v>1216</v>
      </c>
      <c r="E176" s="18" t="s">
        <v>113</v>
      </c>
      <c r="F176" s="18"/>
      <c r="G176" s="18" t="s">
        <v>1217</v>
      </c>
      <c r="H176" s="18" t="s">
        <v>1218</v>
      </c>
      <c r="I176" s="18" t="s">
        <v>1219</v>
      </c>
      <c r="J176" s="18" t="s">
        <v>1220</v>
      </c>
      <c r="K176" s="18" t="s">
        <v>741</v>
      </c>
      <c r="L176" s="18"/>
      <c r="M176" s="18" t="s">
        <v>119</v>
      </c>
      <c r="N176" s="18"/>
      <c r="O176" s="18"/>
      <c r="P176" s="18"/>
      <c r="Q176" s="18"/>
      <c r="R176" s="18"/>
    </row>
    <row r="177" ht="30" customHeight="1" spans="1:18">
      <c r="A177" s="18" t="s">
        <v>1221</v>
      </c>
      <c r="B177" s="18" t="s">
        <v>729</v>
      </c>
      <c r="C177" s="18" t="s">
        <v>1150</v>
      </c>
      <c r="D177" s="18" t="s">
        <v>1222</v>
      </c>
      <c r="E177" s="18" t="s">
        <v>113</v>
      </c>
      <c r="F177" s="18"/>
      <c r="G177" s="18" t="s">
        <v>1223</v>
      </c>
      <c r="H177" s="18" t="s">
        <v>1224</v>
      </c>
      <c r="I177" s="18" t="s">
        <v>1219</v>
      </c>
      <c r="J177" s="18" t="s">
        <v>1225</v>
      </c>
      <c r="K177" s="18" t="s">
        <v>741</v>
      </c>
      <c r="L177" s="18"/>
      <c r="M177" s="18" t="s">
        <v>119</v>
      </c>
      <c r="N177" s="18"/>
      <c r="O177" s="18"/>
      <c r="P177" s="18"/>
      <c r="Q177" s="18"/>
      <c r="R177" s="18"/>
    </row>
    <row r="178" ht="30" customHeight="1" spans="1:18">
      <c r="A178" s="18" t="s">
        <v>1226</v>
      </c>
      <c r="B178" s="18" t="s">
        <v>729</v>
      </c>
      <c r="C178" s="18" t="s">
        <v>1150</v>
      </c>
      <c r="D178" s="18" t="s">
        <v>1227</v>
      </c>
      <c r="E178" s="18" t="s">
        <v>113</v>
      </c>
      <c r="F178" s="18"/>
      <c r="G178" s="18" t="s">
        <v>1228</v>
      </c>
      <c r="H178" s="18" t="s">
        <v>1229</v>
      </c>
      <c r="I178" s="18" t="s">
        <v>1230</v>
      </c>
      <c r="J178" s="18" t="s">
        <v>1231</v>
      </c>
      <c r="K178" s="18" t="s">
        <v>741</v>
      </c>
      <c r="L178" s="18"/>
      <c r="M178" s="18" t="s">
        <v>119</v>
      </c>
      <c r="N178" s="18"/>
      <c r="O178" s="18"/>
      <c r="P178" s="18"/>
      <c r="Q178" s="18"/>
      <c r="R178" s="18"/>
    </row>
    <row r="179" ht="30" customHeight="1" spans="1:18">
      <c r="A179" s="18" t="s">
        <v>1232</v>
      </c>
      <c r="B179" s="18" t="s">
        <v>729</v>
      </c>
      <c r="C179" s="18" t="s">
        <v>1233</v>
      </c>
      <c r="D179" s="18" t="s">
        <v>1234</v>
      </c>
      <c r="E179" s="18" t="s">
        <v>113</v>
      </c>
      <c r="F179" s="18"/>
      <c r="G179" s="18" t="s">
        <v>1235</v>
      </c>
      <c r="H179" s="18" t="s">
        <v>1236</v>
      </c>
      <c r="I179" s="18" t="s">
        <v>1237</v>
      </c>
      <c r="J179" s="18" t="s">
        <v>1238</v>
      </c>
      <c r="K179" s="18" t="s">
        <v>741</v>
      </c>
      <c r="L179" s="18"/>
      <c r="M179" s="18" t="s">
        <v>119</v>
      </c>
      <c r="N179" s="18"/>
      <c r="O179" s="18"/>
      <c r="P179" s="18"/>
      <c r="Q179" s="18"/>
      <c r="R179" s="18"/>
    </row>
    <row r="180" ht="30" customHeight="1" spans="1:18">
      <c r="A180" s="18" t="s">
        <v>1239</v>
      </c>
      <c r="B180" s="18" t="s">
        <v>729</v>
      </c>
      <c r="C180" s="18" t="s">
        <v>1233</v>
      </c>
      <c r="D180" s="18" t="s">
        <v>1240</v>
      </c>
      <c r="E180" s="18" t="s">
        <v>1241</v>
      </c>
      <c r="F180" s="18"/>
      <c r="G180" s="18" t="s">
        <v>1242</v>
      </c>
      <c r="H180" s="18" t="s">
        <v>1243</v>
      </c>
      <c r="I180" s="18" t="s">
        <v>1244</v>
      </c>
      <c r="J180" s="18" t="s">
        <v>1245</v>
      </c>
      <c r="K180" s="18" t="s">
        <v>741</v>
      </c>
      <c r="L180" s="18"/>
      <c r="M180" s="18" t="s">
        <v>119</v>
      </c>
      <c r="N180" s="18"/>
      <c r="O180" s="18"/>
      <c r="P180" s="18"/>
      <c r="Q180" s="18"/>
      <c r="R180" s="18"/>
    </row>
    <row r="181" ht="30" customHeight="1" spans="1:18">
      <c r="A181" s="18" t="s">
        <v>1246</v>
      </c>
      <c r="B181" s="18" t="s">
        <v>729</v>
      </c>
      <c r="C181" s="18" t="s">
        <v>1233</v>
      </c>
      <c r="D181" s="18" t="s">
        <v>1247</v>
      </c>
      <c r="E181" s="18" t="s">
        <v>113</v>
      </c>
      <c r="F181" s="18"/>
      <c r="G181" s="18" t="s">
        <v>1248</v>
      </c>
      <c r="H181" s="18" t="s">
        <v>1249</v>
      </c>
      <c r="I181" s="18" t="s">
        <v>1250</v>
      </c>
      <c r="J181" s="18" t="s">
        <v>1251</v>
      </c>
      <c r="K181" s="18" t="s">
        <v>741</v>
      </c>
      <c r="L181" s="18"/>
      <c r="M181" s="18" t="s">
        <v>119</v>
      </c>
      <c r="N181" s="18"/>
      <c r="O181" s="18"/>
      <c r="P181" s="18"/>
      <c r="Q181" s="18"/>
      <c r="R181" s="18"/>
    </row>
    <row r="182" ht="30" customHeight="1" spans="1:18">
      <c r="A182" s="18" t="s">
        <v>1252</v>
      </c>
      <c r="B182" s="18" t="s">
        <v>729</v>
      </c>
      <c r="C182" s="18" t="s">
        <v>1233</v>
      </c>
      <c r="D182" s="18" t="s">
        <v>1253</v>
      </c>
      <c r="E182" s="18" t="s">
        <v>1254</v>
      </c>
      <c r="F182" s="18"/>
      <c r="G182" s="18" t="s">
        <v>1255</v>
      </c>
      <c r="H182" s="18" t="s">
        <v>1256</v>
      </c>
      <c r="I182" s="18" t="s">
        <v>537</v>
      </c>
      <c r="J182" s="18" t="s">
        <v>1257</v>
      </c>
      <c r="K182" s="18" t="s">
        <v>741</v>
      </c>
      <c r="L182" s="18"/>
      <c r="M182" s="18" t="s">
        <v>119</v>
      </c>
      <c r="N182" s="18"/>
      <c r="O182" s="18"/>
      <c r="P182" s="18"/>
      <c r="Q182" s="18"/>
      <c r="R182" s="18"/>
    </row>
    <row r="183" ht="30" customHeight="1" spans="1:18">
      <c r="A183" s="18" t="s">
        <v>1258</v>
      </c>
      <c r="B183" s="18" t="s">
        <v>729</v>
      </c>
      <c r="C183" s="18" t="s">
        <v>1233</v>
      </c>
      <c r="D183" s="18" t="s">
        <v>1259</v>
      </c>
      <c r="E183" s="18" t="s">
        <v>113</v>
      </c>
      <c r="F183" s="18"/>
      <c r="G183" s="18" t="s">
        <v>1260</v>
      </c>
      <c r="H183" s="18" t="s">
        <v>1261</v>
      </c>
      <c r="I183" s="18" t="s">
        <v>1262</v>
      </c>
      <c r="J183" s="18" t="s">
        <v>1263</v>
      </c>
      <c r="K183" s="18" t="s">
        <v>1148</v>
      </c>
      <c r="L183" s="18"/>
      <c r="M183" s="18" t="s">
        <v>119</v>
      </c>
      <c r="N183" s="18"/>
      <c r="O183" s="18"/>
      <c r="P183" s="18"/>
      <c r="Q183" s="18"/>
      <c r="R183" s="18"/>
    </row>
    <row r="184" ht="30" customHeight="1" spans="1:18">
      <c r="A184" s="18" t="s">
        <v>1264</v>
      </c>
      <c r="B184" s="18" t="s">
        <v>729</v>
      </c>
      <c r="C184" s="18" t="s">
        <v>1233</v>
      </c>
      <c r="D184" s="18" t="s">
        <v>1265</v>
      </c>
      <c r="E184" s="18" t="s">
        <v>113</v>
      </c>
      <c r="F184" s="18"/>
      <c r="G184" s="18" t="s">
        <v>1266</v>
      </c>
      <c r="H184" s="18" t="s">
        <v>1267</v>
      </c>
      <c r="I184" s="18" t="s">
        <v>1268</v>
      </c>
      <c r="J184" s="18" t="s">
        <v>1269</v>
      </c>
      <c r="K184" s="18" t="s">
        <v>1148</v>
      </c>
      <c r="L184" s="18"/>
      <c r="M184" s="18" t="s">
        <v>119</v>
      </c>
      <c r="N184" s="18"/>
      <c r="O184" s="18"/>
      <c r="P184" s="18"/>
      <c r="Q184" s="18"/>
      <c r="R184" s="18"/>
    </row>
    <row r="185" ht="30" customHeight="1" spans="1:18">
      <c r="A185" s="18" t="s">
        <v>1270</v>
      </c>
      <c r="B185" s="18" t="s">
        <v>729</v>
      </c>
      <c r="C185" s="18" t="s">
        <v>1233</v>
      </c>
      <c r="D185" s="18" t="s">
        <v>1271</v>
      </c>
      <c r="E185" s="18" t="s">
        <v>113</v>
      </c>
      <c r="F185" s="18"/>
      <c r="G185" s="18" t="s">
        <v>1272</v>
      </c>
      <c r="H185" s="18" t="s">
        <v>1273</v>
      </c>
      <c r="I185" s="18" t="s">
        <v>1274</v>
      </c>
      <c r="J185" s="18" t="s">
        <v>1275</v>
      </c>
      <c r="K185" s="18" t="s">
        <v>1148</v>
      </c>
      <c r="L185" s="18"/>
      <c r="M185" s="18" t="s">
        <v>119</v>
      </c>
      <c r="N185" s="18"/>
      <c r="O185" s="18"/>
      <c r="P185" s="18"/>
      <c r="Q185" s="18"/>
      <c r="R185" s="18"/>
    </row>
    <row r="186" ht="30" customHeight="1" spans="1:18">
      <c r="A186" s="18" t="s">
        <v>1276</v>
      </c>
      <c r="B186" s="18" t="s">
        <v>729</v>
      </c>
      <c r="C186" s="18" t="s">
        <v>1233</v>
      </c>
      <c r="D186" s="18" t="s">
        <v>1277</v>
      </c>
      <c r="E186" s="18" t="s">
        <v>113</v>
      </c>
      <c r="F186" s="18"/>
      <c r="G186" s="18" t="s">
        <v>1278</v>
      </c>
      <c r="H186" s="18" t="s">
        <v>1279</v>
      </c>
      <c r="I186" s="18" t="s">
        <v>1280</v>
      </c>
      <c r="J186" s="18" t="s">
        <v>1281</v>
      </c>
      <c r="K186" s="18" t="s">
        <v>1148</v>
      </c>
      <c r="L186" s="18"/>
      <c r="M186" s="18" t="s">
        <v>119</v>
      </c>
      <c r="N186" s="18"/>
      <c r="O186" s="18"/>
      <c r="P186" s="18"/>
      <c r="Q186" s="18"/>
      <c r="R186" s="18"/>
    </row>
    <row r="187" ht="30" customHeight="1" spans="1:18">
      <c r="A187" s="18" t="s">
        <v>1282</v>
      </c>
      <c r="B187" s="18" t="s">
        <v>729</v>
      </c>
      <c r="C187" s="18" t="s">
        <v>1233</v>
      </c>
      <c r="D187" s="18" t="s">
        <v>1283</v>
      </c>
      <c r="E187" s="18" t="s">
        <v>113</v>
      </c>
      <c r="F187" s="18"/>
      <c r="G187" s="18" t="s">
        <v>1284</v>
      </c>
      <c r="H187" s="18" t="s">
        <v>1285</v>
      </c>
      <c r="I187" s="18" t="s">
        <v>1280</v>
      </c>
      <c r="J187" s="18" t="s">
        <v>1286</v>
      </c>
      <c r="K187" s="18" t="s">
        <v>1148</v>
      </c>
      <c r="L187" s="18"/>
      <c r="M187" s="18" t="s">
        <v>119</v>
      </c>
      <c r="N187" s="18"/>
      <c r="O187" s="18"/>
      <c r="P187" s="18"/>
      <c r="Q187" s="18"/>
      <c r="R187" s="18"/>
    </row>
    <row r="188" ht="30" customHeight="1" spans="1:18">
      <c r="A188" s="18" t="s">
        <v>1287</v>
      </c>
      <c r="B188" s="18" t="s">
        <v>729</v>
      </c>
      <c r="C188" s="18" t="s">
        <v>1233</v>
      </c>
      <c r="D188" s="18" t="s">
        <v>1288</v>
      </c>
      <c r="E188" s="18" t="s">
        <v>113</v>
      </c>
      <c r="F188" s="18"/>
      <c r="G188" s="18" t="s">
        <v>1289</v>
      </c>
      <c r="H188" s="18" t="s">
        <v>1290</v>
      </c>
      <c r="I188" s="18" t="s">
        <v>1291</v>
      </c>
      <c r="J188" s="18" t="s">
        <v>1292</v>
      </c>
      <c r="K188" s="18" t="s">
        <v>1148</v>
      </c>
      <c r="L188" s="18"/>
      <c r="M188" s="18" t="s">
        <v>119</v>
      </c>
      <c r="N188" s="18"/>
      <c r="O188" s="18"/>
      <c r="P188" s="18"/>
      <c r="Q188" s="18"/>
      <c r="R188" s="18"/>
    </row>
    <row r="189" ht="30" customHeight="1" spans="1:18">
      <c r="A189" s="18" t="s">
        <v>1293</v>
      </c>
      <c r="B189" s="18" t="s">
        <v>729</v>
      </c>
      <c r="C189" s="18" t="s">
        <v>1233</v>
      </c>
      <c r="D189" s="18" t="s">
        <v>1294</v>
      </c>
      <c r="E189" s="18" t="s">
        <v>113</v>
      </c>
      <c r="F189" s="18"/>
      <c r="G189" s="18" t="s">
        <v>1295</v>
      </c>
      <c r="H189" s="18" t="s">
        <v>1296</v>
      </c>
      <c r="I189" s="18" t="s">
        <v>739</v>
      </c>
      <c r="J189" s="18" t="s">
        <v>1297</v>
      </c>
      <c r="K189" s="18" t="s">
        <v>1148</v>
      </c>
      <c r="L189" s="18"/>
      <c r="M189" s="18" t="s">
        <v>119</v>
      </c>
      <c r="N189" s="18"/>
      <c r="O189" s="18"/>
      <c r="P189" s="18"/>
      <c r="Q189" s="18"/>
      <c r="R189" s="18"/>
    </row>
    <row r="190" ht="30" customHeight="1" spans="1:18">
      <c r="A190" s="18" t="s">
        <v>1298</v>
      </c>
      <c r="B190" s="18" t="s">
        <v>729</v>
      </c>
      <c r="C190" s="18" t="s">
        <v>1233</v>
      </c>
      <c r="D190" s="18" t="s">
        <v>1299</v>
      </c>
      <c r="E190" s="18" t="s">
        <v>113</v>
      </c>
      <c r="F190" s="18"/>
      <c r="G190" s="18" t="s">
        <v>1300</v>
      </c>
      <c r="H190" s="18" t="s">
        <v>1301</v>
      </c>
      <c r="I190" s="18" t="s">
        <v>1302</v>
      </c>
      <c r="J190" s="18" t="s">
        <v>1303</v>
      </c>
      <c r="K190" s="18" t="s">
        <v>1148</v>
      </c>
      <c r="L190" s="18"/>
      <c r="M190" s="18" t="s">
        <v>119</v>
      </c>
      <c r="N190" s="18"/>
      <c r="O190" s="18"/>
      <c r="P190" s="18"/>
      <c r="Q190" s="18"/>
      <c r="R190" s="18"/>
    </row>
    <row r="191" ht="30" customHeight="1" spans="1:18">
      <c r="A191" s="18" t="s">
        <v>1304</v>
      </c>
      <c r="B191" s="18" t="s">
        <v>729</v>
      </c>
      <c r="C191" s="18" t="s">
        <v>1233</v>
      </c>
      <c r="D191" s="18" t="s">
        <v>1305</v>
      </c>
      <c r="E191" s="18" t="s">
        <v>1306</v>
      </c>
      <c r="F191" s="18"/>
      <c r="G191" s="18" t="s">
        <v>1307</v>
      </c>
      <c r="H191" s="18" t="s">
        <v>1308</v>
      </c>
      <c r="I191" s="18" t="s">
        <v>1309</v>
      </c>
      <c r="J191" s="18" t="s">
        <v>1310</v>
      </c>
      <c r="K191" s="18" t="s">
        <v>1148</v>
      </c>
      <c r="L191" s="18"/>
      <c r="M191" s="18" t="s">
        <v>119</v>
      </c>
      <c r="N191" s="18"/>
      <c r="O191" s="18"/>
      <c r="P191" s="18"/>
      <c r="Q191" s="18"/>
      <c r="R191" s="18"/>
    </row>
    <row r="192" ht="30" customHeight="1" spans="1:18">
      <c r="A192" s="18" t="s">
        <v>1311</v>
      </c>
      <c r="B192" s="18" t="s">
        <v>1312</v>
      </c>
      <c r="C192" s="18" t="s">
        <v>1313</v>
      </c>
      <c r="D192" s="18" t="s">
        <v>1314</v>
      </c>
      <c r="E192" s="18" t="s">
        <v>113</v>
      </c>
      <c r="F192" s="18"/>
      <c r="G192" s="18" t="s">
        <v>1315</v>
      </c>
      <c r="H192" s="18" t="s">
        <v>1316</v>
      </c>
      <c r="I192" s="18" t="s">
        <v>1317</v>
      </c>
      <c r="J192" s="18" t="s">
        <v>1318</v>
      </c>
      <c r="K192" s="18" t="s">
        <v>1148</v>
      </c>
      <c r="L192" s="18"/>
      <c r="M192" s="18" t="s">
        <v>119</v>
      </c>
      <c r="N192" s="18"/>
      <c r="O192" s="18"/>
      <c r="P192" s="18"/>
      <c r="Q192" s="18"/>
      <c r="R192" s="18"/>
    </row>
    <row r="193" ht="30" customHeight="1" spans="1:18">
      <c r="A193" s="18" t="s">
        <v>1319</v>
      </c>
      <c r="B193" s="18" t="s">
        <v>1312</v>
      </c>
      <c r="C193" s="18" t="s">
        <v>1313</v>
      </c>
      <c r="D193" s="18" t="s">
        <v>1320</v>
      </c>
      <c r="E193" s="18" t="s">
        <v>113</v>
      </c>
      <c r="F193" s="18"/>
      <c r="G193" s="18" t="s">
        <v>1321</v>
      </c>
      <c r="H193" s="18" t="s">
        <v>1322</v>
      </c>
      <c r="I193" s="18" t="s">
        <v>1323</v>
      </c>
      <c r="J193" s="18" t="s">
        <v>1324</v>
      </c>
      <c r="K193" s="18" t="s">
        <v>1148</v>
      </c>
      <c r="L193" s="18"/>
      <c r="M193" s="18" t="s">
        <v>119</v>
      </c>
      <c r="N193" s="18"/>
      <c r="O193" s="18"/>
      <c r="P193" s="18"/>
      <c r="Q193" s="18"/>
      <c r="R193" s="18"/>
    </row>
    <row r="194" ht="30" customHeight="1" spans="1:18">
      <c r="A194" s="18" t="s">
        <v>1325</v>
      </c>
      <c r="B194" s="18" t="s">
        <v>1312</v>
      </c>
      <c r="C194" s="18" t="s">
        <v>1313</v>
      </c>
      <c r="D194" s="18" t="s">
        <v>1326</v>
      </c>
      <c r="E194" s="18" t="s">
        <v>1327</v>
      </c>
      <c r="F194" s="18"/>
      <c r="G194" s="18" t="s">
        <v>1328</v>
      </c>
      <c r="H194" s="18" t="s">
        <v>1329</v>
      </c>
      <c r="I194" s="18" t="s">
        <v>1330</v>
      </c>
      <c r="J194" s="18" t="s">
        <v>1331</v>
      </c>
      <c r="K194" s="18" t="s">
        <v>1148</v>
      </c>
      <c r="L194" s="18"/>
      <c r="M194" s="18" t="s">
        <v>119</v>
      </c>
      <c r="N194" s="18"/>
      <c r="O194" s="18"/>
      <c r="P194" s="18"/>
      <c r="Q194" s="18"/>
      <c r="R194" s="18"/>
    </row>
    <row r="195" ht="30" customHeight="1" spans="1:18">
      <c r="A195" s="18" t="s">
        <v>1332</v>
      </c>
      <c r="B195" s="18" t="s">
        <v>1312</v>
      </c>
      <c r="C195" s="18" t="s">
        <v>1313</v>
      </c>
      <c r="D195" s="18" t="s">
        <v>1333</v>
      </c>
      <c r="E195" s="18" t="s">
        <v>1334</v>
      </c>
      <c r="F195" s="18"/>
      <c r="G195" s="18" t="s">
        <v>1335</v>
      </c>
      <c r="H195" s="18" t="s">
        <v>1336</v>
      </c>
      <c r="I195" s="18" t="s">
        <v>1337</v>
      </c>
      <c r="J195" s="18" t="s">
        <v>1338</v>
      </c>
      <c r="K195" s="18" t="s">
        <v>1148</v>
      </c>
      <c r="L195" s="18"/>
      <c r="M195" s="18" t="s">
        <v>119</v>
      </c>
      <c r="N195" s="18"/>
      <c r="O195" s="18"/>
      <c r="P195" s="18"/>
      <c r="Q195" s="18"/>
      <c r="R195" s="18"/>
    </row>
    <row r="196" ht="30" customHeight="1" spans="1:18">
      <c r="A196" s="18" t="s">
        <v>1339</v>
      </c>
      <c r="B196" s="18" t="s">
        <v>1312</v>
      </c>
      <c r="C196" s="18" t="s">
        <v>1313</v>
      </c>
      <c r="D196" s="18" t="s">
        <v>1340</v>
      </c>
      <c r="E196" s="18" t="s">
        <v>1341</v>
      </c>
      <c r="F196" s="18"/>
      <c r="G196" s="18" t="s">
        <v>1342</v>
      </c>
      <c r="H196" s="18" t="s">
        <v>1343</v>
      </c>
      <c r="I196" s="18" t="s">
        <v>1344</v>
      </c>
      <c r="J196" s="18" t="s">
        <v>1345</v>
      </c>
      <c r="K196" s="18" t="s">
        <v>1148</v>
      </c>
      <c r="L196" s="18"/>
      <c r="M196" s="18" t="s">
        <v>119</v>
      </c>
      <c r="N196" s="18"/>
      <c r="O196" s="18"/>
      <c r="P196" s="18"/>
      <c r="Q196" s="18"/>
      <c r="R196" s="18"/>
    </row>
    <row r="197" ht="30" customHeight="1" spans="1:18">
      <c r="A197" s="18" t="s">
        <v>1346</v>
      </c>
      <c r="B197" s="18" t="s">
        <v>1312</v>
      </c>
      <c r="C197" s="18" t="s">
        <v>1313</v>
      </c>
      <c r="D197" s="18" t="s">
        <v>1347</v>
      </c>
      <c r="E197" s="18" t="s">
        <v>745</v>
      </c>
      <c r="F197" s="18"/>
      <c r="G197" s="18" t="s">
        <v>1348</v>
      </c>
      <c r="H197" s="18" t="s">
        <v>1349</v>
      </c>
      <c r="I197" s="18" t="s">
        <v>1350</v>
      </c>
      <c r="J197" s="18" t="s">
        <v>1351</v>
      </c>
      <c r="K197" s="18" t="s">
        <v>1148</v>
      </c>
      <c r="L197" s="18"/>
      <c r="M197" s="18" t="s">
        <v>119</v>
      </c>
      <c r="N197" s="18"/>
      <c r="O197" s="18"/>
      <c r="P197" s="18"/>
      <c r="Q197" s="18"/>
      <c r="R197" s="18"/>
    </row>
    <row r="198" ht="30" customHeight="1" spans="1:18">
      <c r="A198" s="18" t="s">
        <v>1352</v>
      </c>
      <c r="B198" s="18" t="s">
        <v>1312</v>
      </c>
      <c r="C198" s="18" t="s">
        <v>1313</v>
      </c>
      <c r="D198" s="18" t="s">
        <v>1353</v>
      </c>
      <c r="E198" s="18" t="s">
        <v>113</v>
      </c>
      <c r="F198" s="18"/>
      <c r="G198" s="18" t="s">
        <v>1354</v>
      </c>
      <c r="H198" s="18" t="s">
        <v>1355</v>
      </c>
      <c r="I198" s="18" t="s">
        <v>1356</v>
      </c>
      <c r="J198" s="18" t="s">
        <v>1357</v>
      </c>
      <c r="K198" s="18" t="s">
        <v>1148</v>
      </c>
      <c r="L198" s="18"/>
      <c r="M198" s="18" t="s">
        <v>119</v>
      </c>
      <c r="N198" s="18"/>
      <c r="O198" s="18"/>
      <c r="P198" s="18"/>
      <c r="Q198" s="18"/>
      <c r="R198" s="18"/>
    </row>
    <row r="199" ht="30" customHeight="1" spans="1:18">
      <c r="A199" s="18" t="s">
        <v>1358</v>
      </c>
      <c r="B199" s="18" t="s">
        <v>1312</v>
      </c>
      <c r="C199" s="18" t="s">
        <v>1313</v>
      </c>
      <c r="D199" s="18" t="s">
        <v>1359</v>
      </c>
      <c r="E199" s="18" t="s">
        <v>1360</v>
      </c>
      <c r="F199" s="18"/>
      <c r="G199" s="18" t="s">
        <v>1361</v>
      </c>
      <c r="H199" s="18" t="s">
        <v>1362</v>
      </c>
      <c r="I199" s="18" t="s">
        <v>1363</v>
      </c>
      <c r="J199" s="18" t="s">
        <v>1364</v>
      </c>
      <c r="K199" s="18" t="s">
        <v>1148</v>
      </c>
      <c r="L199" s="18"/>
      <c r="M199" s="18" t="s">
        <v>119</v>
      </c>
      <c r="N199" s="18"/>
      <c r="O199" s="18"/>
      <c r="P199" s="18"/>
      <c r="Q199" s="18"/>
      <c r="R199" s="18"/>
    </row>
    <row r="200" ht="30" customHeight="1" spans="1:18">
      <c r="A200" s="18" t="s">
        <v>1365</v>
      </c>
      <c r="B200" s="18" t="s">
        <v>1312</v>
      </c>
      <c r="C200" s="18" t="s">
        <v>1313</v>
      </c>
      <c r="D200" s="18" t="s">
        <v>1366</v>
      </c>
      <c r="E200" s="18" t="s">
        <v>113</v>
      </c>
      <c r="F200" s="18"/>
      <c r="G200" s="18" t="s">
        <v>1367</v>
      </c>
      <c r="H200" s="18" t="s">
        <v>1368</v>
      </c>
      <c r="I200" s="18" t="s">
        <v>1369</v>
      </c>
      <c r="J200" s="18" t="s">
        <v>1370</v>
      </c>
      <c r="K200" s="18" t="s">
        <v>1148</v>
      </c>
      <c r="L200" s="18"/>
      <c r="M200" s="18" t="s">
        <v>119</v>
      </c>
      <c r="N200" s="18"/>
      <c r="O200" s="18"/>
      <c r="P200" s="18"/>
      <c r="Q200" s="18"/>
      <c r="R200" s="18"/>
    </row>
    <row r="201" ht="30" customHeight="1" spans="1:18">
      <c r="A201" s="18" t="s">
        <v>1371</v>
      </c>
      <c r="B201" s="18" t="s">
        <v>1312</v>
      </c>
      <c r="C201" s="18" t="s">
        <v>1313</v>
      </c>
      <c r="D201" s="18" t="s">
        <v>1372</v>
      </c>
      <c r="E201" s="18" t="s">
        <v>113</v>
      </c>
      <c r="F201" s="18"/>
      <c r="G201" s="18" t="s">
        <v>1373</v>
      </c>
      <c r="H201" s="18" t="s">
        <v>1374</v>
      </c>
      <c r="I201" s="18" t="s">
        <v>1375</v>
      </c>
      <c r="J201" s="18" t="s">
        <v>1376</v>
      </c>
      <c r="K201" s="18" t="s">
        <v>1377</v>
      </c>
      <c r="L201" s="18"/>
      <c r="M201" s="18" t="s">
        <v>119</v>
      </c>
      <c r="N201" s="18"/>
      <c r="O201" s="18"/>
      <c r="P201" s="18"/>
      <c r="Q201" s="18"/>
      <c r="R201" s="18"/>
    </row>
    <row r="202" ht="30" customHeight="1" spans="1:18">
      <c r="A202" s="18" t="s">
        <v>1378</v>
      </c>
      <c r="B202" s="18" t="s">
        <v>1312</v>
      </c>
      <c r="C202" s="18" t="s">
        <v>1313</v>
      </c>
      <c r="D202" s="18" t="s">
        <v>1379</v>
      </c>
      <c r="E202" s="18" t="s">
        <v>1380</v>
      </c>
      <c r="F202" s="18"/>
      <c r="G202" s="18" t="s">
        <v>1381</v>
      </c>
      <c r="H202" s="18" t="s">
        <v>1382</v>
      </c>
      <c r="I202" s="18" t="s">
        <v>1383</v>
      </c>
      <c r="J202" s="18" t="s">
        <v>1384</v>
      </c>
      <c r="K202" s="18" t="s">
        <v>1148</v>
      </c>
      <c r="L202" s="18"/>
      <c r="M202" s="18" t="s">
        <v>119</v>
      </c>
      <c r="N202" s="18"/>
      <c r="O202" s="18"/>
      <c r="P202" s="18"/>
      <c r="Q202" s="18"/>
      <c r="R202" s="18"/>
    </row>
    <row r="203" ht="30" customHeight="1" spans="1:18">
      <c r="A203" s="18" t="s">
        <v>1385</v>
      </c>
      <c r="B203" s="18" t="s">
        <v>1312</v>
      </c>
      <c r="C203" s="18" t="s">
        <v>1313</v>
      </c>
      <c r="D203" s="18" t="s">
        <v>1386</v>
      </c>
      <c r="E203" s="18" t="s">
        <v>1387</v>
      </c>
      <c r="F203" s="18"/>
      <c r="G203" s="18" t="s">
        <v>1388</v>
      </c>
      <c r="H203" s="18" t="s">
        <v>1389</v>
      </c>
      <c r="I203" s="18" t="s">
        <v>1390</v>
      </c>
      <c r="J203" s="18" t="s">
        <v>1391</v>
      </c>
      <c r="K203" s="18" t="s">
        <v>1148</v>
      </c>
      <c r="L203" s="18"/>
      <c r="M203" s="18" t="s">
        <v>119</v>
      </c>
      <c r="N203" s="18"/>
      <c r="O203" s="18"/>
      <c r="P203" s="18"/>
      <c r="Q203" s="18"/>
      <c r="R203" s="18"/>
    </row>
    <row r="204" ht="30" customHeight="1" spans="1:18">
      <c r="A204" s="18" t="s">
        <v>1392</v>
      </c>
      <c r="B204" s="18" t="s">
        <v>267</v>
      </c>
      <c r="C204" s="18" t="s">
        <v>1393</v>
      </c>
      <c r="D204" s="18" t="s">
        <v>1394</v>
      </c>
      <c r="E204" s="18" t="s">
        <v>113</v>
      </c>
      <c r="F204" s="18"/>
      <c r="G204" s="18" t="s">
        <v>1395</v>
      </c>
      <c r="H204" s="18" t="s">
        <v>1396</v>
      </c>
      <c r="I204" s="18" t="s">
        <v>1397</v>
      </c>
      <c r="J204" s="18" t="s">
        <v>1398</v>
      </c>
      <c r="K204" s="18" t="s">
        <v>118</v>
      </c>
      <c r="L204" s="18"/>
      <c r="M204" s="18" t="s">
        <v>119</v>
      </c>
      <c r="N204" s="18"/>
      <c r="O204" s="18"/>
      <c r="P204" s="18"/>
      <c r="Q204" s="18"/>
      <c r="R204" s="18"/>
    </row>
    <row r="205" ht="30" customHeight="1" spans="1:18">
      <c r="A205" s="18" t="s">
        <v>1399</v>
      </c>
      <c r="B205" s="18" t="s">
        <v>503</v>
      </c>
      <c r="C205" s="18" t="s">
        <v>1393</v>
      </c>
      <c r="D205" s="18" t="s">
        <v>1400</v>
      </c>
      <c r="E205" s="18" t="s">
        <v>113</v>
      </c>
      <c r="F205" s="18"/>
      <c r="G205" s="18" t="s">
        <v>1401</v>
      </c>
      <c r="H205" s="18" t="s">
        <v>1402</v>
      </c>
      <c r="I205" s="18" t="s">
        <v>720</v>
      </c>
      <c r="J205" s="18" t="s">
        <v>1403</v>
      </c>
      <c r="K205" s="18" t="s">
        <v>118</v>
      </c>
      <c r="L205" s="18"/>
      <c r="M205" s="18" t="s">
        <v>119</v>
      </c>
      <c r="N205" s="18"/>
      <c r="O205" s="18"/>
      <c r="P205" s="18"/>
      <c r="Q205" s="18"/>
      <c r="R205" s="18"/>
    </row>
    <row r="206" ht="30" customHeight="1" spans="1:18">
      <c r="A206" s="18" t="s">
        <v>1404</v>
      </c>
      <c r="B206" s="18" t="s">
        <v>552</v>
      </c>
      <c r="C206" s="18" t="s">
        <v>1393</v>
      </c>
      <c r="D206" s="18" t="s">
        <v>1405</v>
      </c>
      <c r="E206" s="18" t="s">
        <v>113</v>
      </c>
      <c r="F206" s="18"/>
      <c r="G206" s="18" t="s">
        <v>1406</v>
      </c>
      <c r="H206" s="18" t="s">
        <v>1407</v>
      </c>
      <c r="I206" s="18" t="s">
        <v>1408</v>
      </c>
      <c r="J206" s="18" t="s">
        <v>1409</v>
      </c>
      <c r="K206" s="18" t="s">
        <v>310</v>
      </c>
      <c r="L206" s="18"/>
      <c r="M206" s="18" t="s">
        <v>119</v>
      </c>
      <c r="N206" s="18"/>
      <c r="O206" s="18"/>
      <c r="P206" s="18"/>
      <c r="Q206" s="18"/>
      <c r="R206" s="18"/>
    </row>
    <row r="207" ht="30" customHeight="1" spans="1:18">
      <c r="A207" s="18" t="s">
        <v>1410</v>
      </c>
      <c r="B207" s="18" t="s">
        <v>267</v>
      </c>
      <c r="C207" s="18" t="s">
        <v>1393</v>
      </c>
      <c r="D207" s="18" t="s">
        <v>1411</v>
      </c>
      <c r="E207" s="18" t="s">
        <v>1412</v>
      </c>
      <c r="F207" s="18"/>
      <c r="G207" s="18" t="s">
        <v>1413</v>
      </c>
      <c r="H207" s="18" t="s">
        <v>1414</v>
      </c>
      <c r="I207" s="18" t="s">
        <v>1415</v>
      </c>
      <c r="J207" s="18" t="s">
        <v>1416</v>
      </c>
      <c r="K207" s="18" t="s">
        <v>118</v>
      </c>
      <c r="L207" s="18"/>
      <c r="M207" s="18" t="s">
        <v>119</v>
      </c>
      <c r="N207" s="18"/>
      <c r="O207" s="18"/>
      <c r="P207" s="18"/>
      <c r="Q207" s="18"/>
      <c r="R207" s="18"/>
    </row>
    <row r="208" ht="30" customHeight="1" spans="1:18">
      <c r="A208" s="18" t="s">
        <v>1417</v>
      </c>
      <c r="B208" s="18" t="s">
        <v>729</v>
      </c>
      <c r="C208" s="18" t="s">
        <v>1393</v>
      </c>
      <c r="D208" s="18" t="s">
        <v>1418</v>
      </c>
      <c r="E208" s="18" t="s">
        <v>113</v>
      </c>
      <c r="F208" s="18"/>
      <c r="G208" s="18" t="s">
        <v>1419</v>
      </c>
      <c r="H208" s="18" t="s">
        <v>1420</v>
      </c>
      <c r="I208" s="18" t="s">
        <v>739</v>
      </c>
      <c r="J208" s="18" t="s">
        <v>1421</v>
      </c>
      <c r="K208" s="18" t="s">
        <v>741</v>
      </c>
      <c r="L208" s="18"/>
      <c r="M208" s="18" t="s">
        <v>119</v>
      </c>
      <c r="N208" s="18"/>
      <c r="O208" s="18"/>
      <c r="P208" s="18"/>
      <c r="Q208" s="18"/>
      <c r="R208" s="18"/>
    </row>
    <row r="209" ht="30" customHeight="1" spans="1:18">
      <c r="A209" s="18" t="s">
        <v>1422</v>
      </c>
      <c r="B209" s="18" t="s">
        <v>1039</v>
      </c>
      <c r="C209" s="18" t="s">
        <v>1393</v>
      </c>
      <c r="D209" s="18" t="s">
        <v>1423</v>
      </c>
      <c r="E209" s="18" t="s">
        <v>113</v>
      </c>
      <c r="F209" s="18"/>
      <c r="G209" s="18" t="s">
        <v>1424</v>
      </c>
      <c r="H209" s="18" t="s">
        <v>1425</v>
      </c>
      <c r="I209" s="18" t="s">
        <v>1426</v>
      </c>
      <c r="J209" s="18" t="s">
        <v>1427</v>
      </c>
      <c r="K209" s="18" t="s">
        <v>741</v>
      </c>
      <c r="L209" s="18"/>
      <c r="M209" s="18" t="s">
        <v>119</v>
      </c>
      <c r="N209" s="18"/>
      <c r="O209" s="18"/>
      <c r="P209" s="18"/>
      <c r="Q209" s="18"/>
      <c r="R209" s="18"/>
    </row>
    <row r="210" ht="30" customHeight="1" spans="1:18">
      <c r="A210" s="18" t="s">
        <v>1428</v>
      </c>
      <c r="B210" s="18" t="s">
        <v>729</v>
      </c>
      <c r="C210" s="18" t="s">
        <v>1393</v>
      </c>
      <c r="D210" s="18" t="s">
        <v>1429</v>
      </c>
      <c r="E210" s="18" t="s">
        <v>113</v>
      </c>
      <c r="F210" s="18"/>
      <c r="G210" s="18" t="s">
        <v>1430</v>
      </c>
      <c r="H210" s="18" t="s">
        <v>1431</v>
      </c>
      <c r="I210" s="18" t="s">
        <v>1302</v>
      </c>
      <c r="J210" s="18" t="s">
        <v>1432</v>
      </c>
      <c r="K210" s="18" t="s">
        <v>1148</v>
      </c>
      <c r="L210" s="18"/>
      <c r="M210" s="18" t="s">
        <v>119</v>
      </c>
      <c r="N210" s="18"/>
      <c r="O210" s="18"/>
      <c r="P210" s="18"/>
      <c r="Q210" s="18"/>
      <c r="R210" s="18"/>
    </row>
    <row r="211" ht="30" customHeight="1" spans="1:18">
      <c r="A211" s="18" t="s">
        <v>1433</v>
      </c>
      <c r="B211" s="18" t="s">
        <v>267</v>
      </c>
      <c r="C211" s="18" t="s">
        <v>1393</v>
      </c>
      <c r="D211" s="18" t="s">
        <v>1434</v>
      </c>
      <c r="E211" s="18" t="s">
        <v>113</v>
      </c>
      <c r="F211" s="18"/>
      <c r="G211" s="18" t="s">
        <v>1435</v>
      </c>
      <c r="H211" s="18" t="s">
        <v>1436</v>
      </c>
      <c r="I211" s="18" t="s">
        <v>1437</v>
      </c>
      <c r="J211" s="18" t="s">
        <v>1438</v>
      </c>
      <c r="K211" s="18" t="s">
        <v>118</v>
      </c>
      <c r="L211" s="18"/>
      <c r="M211" s="18" t="s">
        <v>119</v>
      </c>
      <c r="N211" s="18"/>
      <c r="O211" s="18"/>
      <c r="P211" s="18"/>
      <c r="Q211" s="18"/>
      <c r="R211" s="18"/>
    </row>
    <row r="212" ht="30" customHeight="1" spans="1:18">
      <c r="A212" s="18" t="s">
        <v>1439</v>
      </c>
      <c r="B212" s="18" t="s">
        <v>1440</v>
      </c>
      <c r="C212" s="18" t="s">
        <v>1393</v>
      </c>
      <c r="D212" s="18" t="s">
        <v>1441</v>
      </c>
      <c r="E212" s="18" t="s">
        <v>113</v>
      </c>
      <c r="F212" s="18"/>
      <c r="G212" s="18" t="s">
        <v>1442</v>
      </c>
      <c r="H212" s="18" t="s">
        <v>1443</v>
      </c>
      <c r="I212" s="18" t="s">
        <v>1444</v>
      </c>
      <c r="J212" s="18" t="s">
        <v>1445</v>
      </c>
      <c r="K212" s="18" t="s">
        <v>1446</v>
      </c>
      <c r="L212" s="18"/>
      <c r="M212" s="18" t="s">
        <v>119</v>
      </c>
      <c r="N212" s="18"/>
      <c r="O212" s="18"/>
      <c r="P212" s="18"/>
      <c r="Q212" s="18"/>
      <c r="R212" s="18"/>
    </row>
    <row r="213" ht="30" customHeight="1" spans="1:18">
      <c r="A213" s="18" t="s">
        <v>1447</v>
      </c>
      <c r="B213" s="18" t="s">
        <v>503</v>
      </c>
      <c r="C213" s="18" t="s">
        <v>1393</v>
      </c>
      <c r="D213" s="18" t="s">
        <v>1448</v>
      </c>
      <c r="E213" s="18" t="s">
        <v>113</v>
      </c>
      <c r="F213" s="18"/>
      <c r="G213" s="18" t="s">
        <v>1449</v>
      </c>
      <c r="H213" s="18" t="s">
        <v>1450</v>
      </c>
      <c r="I213" s="18" t="s">
        <v>1451</v>
      </c>
      <c r="J213" s="18" t="s">
        <v>1452</v>
      </c>
      <c r="K213" s="18" t="s">
        <v>207</v>
      </c>
      <c r="L213" s="18"/>
      <c r="M213" s="18" t="s">
        <v>119</v>
      </c>
      <c r="N213" s="18"/>
      <c r="O213" s="18"/>
      <c r="P213" s="18"/>
      <c r="Q213" s="18"/>
      <c r="R213" s="18"/>
    </row>
    <row r="214" ht="30" customHeight="1" spans="1:18">
      <c r="A214" s="18" t="s">
        <v>1453</v>
      </c>
      <c r="B214" s="18" t="s">
        <v>729</v>
      </c>
      <c r="C214" s="18" t="s">
        <v>1393</v>
      </c>
      <c r="D214" s="18" t="s">
        <v>1454</v>
      </c>
      <c r="E214" s="18" t="s">
        <v>113</v>
      </c>
      <c r="F214" s="18"/>
      <c r="G214" s="18" t="s">
        <v>1455</v>
      </c>
      <c r="H214" s="18" t="s">
        <v>1456</v>
      </c>
      <c r="I214" s="18" t="s">
        <v>1451</v>
      </c>
      <c r="J214" s="18" t="s">
        <v>1457</v>
      </c>
      <c r="K214" s="18" t="s">
        <v>207</v>
      </c>
      <c r="L214" s="18"/>
      <c r="M214" s="18" t="s">
        <v>119</v>
      </c>
      <c r="N214" s="18"/>
      <c r="O214" s="18"/>
      <c r="P214" s="18"/>
      <c r="Q214" s="18"/>
      <c r="R214" s="18"/>
    </row>
    <row r="215" ht="30" customHeight="1" spans="1:18">
      <c r="A215" s="18" t="s">
        <v>1458</v>
      </c>
      <c r="B215" s="18" t="s">
        <v>267</v>
      </c>
      <c r="C215" s="18" t="s">
        <v>1393</v>
      </c>
      <c r="D215" s="18" t="s">
        <v>1459</v>
      </c>
      <c r="E215" s="18" t="s">
        <v>1460</v>
      </c>
      <c r="F215" s="18"/>
      <c r="G215" s="18" t="s">
        <v>1461</v>
      </c>
      <c r="H215" s="18" t="s">
        <v>1462</v>
      </c>
      <c r="I215" s="18" t="s">
        <v>1463</v>
      </c>
      <c r="J215" s="18" t="s">
        <v>1464</v>
      </c>
      <c r="K215" s="18" t="s">
        <v>138</v>
      </c>
      <c r="L215" s="18"/>
      <c r="M215" s="18" t="s">
        <v>119</v>
      </c>
      <c r="N215" s="18"/>
      <c r="O215" s="18"/>
      <c r="P215" s="18"/>
      <c r="Q215" s="18"/>
      <c r="R215" s="18"/>
    </row>
    <row r="216" ht="30" customHeight="1" spans="1:18">
      <c r="A216" s="18" t="s">
        <v>1465</v>
      </c>
      <c r="B216" s="18" t="s">
        <v>421</v>
      </c>
      <c r="C216" s="18" t="s">
        <v>1393</v>
      </c>
      <c r="D216" s="18" t="s">
        <v>1466</v>
      </c>
      <c r="E216" s="18" t="s">
        <v>113</v>
      </c>
      <c r="F216" s="18"/>
      <c r="G216" s="18" t="s">
        <v>1467</v>
      </c>
      <c r="H216" s="18" t="s">
        <v>1468</v>
      </c>
      <c r="I216" s="18" t="s">
        <v>1469</v>
      </c>
      <c r="J216" s="18" t="s">
        <v>1470</v>
      </c>
      <c r="K216" s="18" t="s">
        <v>118</v>
      </c>
      <c r="L216" s="18"/>
      <c r="M216" s="18" t="s">
        <v>119</v>
      </c>
      <c r="N216" s="18"/>
      <c r="O216" s="18"/>
      <c r="P216" s="18"/>
      <c r="Q216" s="18"/>
      <c r="R216" s="18"/>
    </row>
    <row r="217" ht="30" customHeight="1" spans="1:18">
      <c r="A217" s="18" t="s">
        <v>1471</v>
      </c>
      <c r="B217" s="18" t="s">
        <v>1440</v>
      </c>
      <c r="C217" s="18" t="s">
        <v>1472</v>
      </c>
      <c r="D217" s="18" t="s">
        <v>1473</v>
      </c>
      <c r="E217" s="18" t="s">
        <v>113</v>
      </c>
      <c r="F217" s="18"/>
      <c r="G217" s="18" t="s">
        <v>1474</v>
      </c>
      <c r="H217" s="18" t="s">
        <v>1475</v>
      </c>
      <c r="I217" s="18" t="s">
        <v>1476</v>
      </c>
      <c r="J217" s="18" t="s">
        <v>1477</v>
      </c>
      <c r="K217" s="18" t="s">
        <v>1377</v>
      </c>
      <c r="L217" s="18"/>
      <c r="M217" s="18" t="s">
        <v>119</v>
      </c>
      <c r="N217" s="18"/>
      <c r="O217" s="18"/>
      <c r="P217" s="18"/>
      <c r="Q217" s="18"/>
      <c r="R217" s="18"/>
    </row>
    <row r="218" ht="30" customHeight="1" spans="1:18">
      <c r="A218" s="18" t="s">
        <v>1478</v>
      </c>
      <c r="B218" s="18" t="s">
        <v>1440</v>
      </c>
      <c r="C218" s="18" t="s">
        <v>1472</v>
      </c>
      <c r="D218" s="18" t="s">
        <v>1479</v>
      </c>
      <c r="E218" s="18" t="s">
        <v>113</v>
      </c>
      <c r="F218" s="18"/>
      <c r="G218" s="18" t="s">
        <v>1480</v>
      </c>
      <c r="H218" s="18" t="s">
        <v>1481</v>
      </c>
      <c r="I218" s="18" t="s">
        <v>1482</v>
      </c>
      <c r="J218" s="18" t="s">
        <v>1483</v>
      </c>
      <c r="K218" s="18" t="s">
        <v>1377</v>
      </c>
      <c r="L218" s="18"/>
      <c r="M218" s="18" t="s">
        <v>119</v>
      </c>
      <c r="N218" s="18"/>
      <c r="O218" s="18"/>
      <c r="P218" s="18"/>
      <c r="Q218" s="18"/>
      <c r="R218" s="18"/>
    </row>
    <row r="219" ht="30" customHeight="1" spans="1:18">
      <c r="A219" s="18" t="s">
        <v>1484</v>
      </c>
      <c r="B219" s="18" t="s">
        <v>1440</v>
      </c>
      <c r="C219" s="18" t="s">
        <v>1472</v>
      </c>
      <c r="D219" s="18" t="s">
        <v>1485</v>
      </c>
      <c r="E219" s="18" t="s">
        <v>113</v>
      </c>
      <c r="F219" s="18"/>
      <c r="G219" s="18" t="s">
        <v>1486</v>
      </c>
      <c r="H219" s="18" t="s">
        <v>1487</v>
      </c>
      <c r="I219" s="18" t="s">
        <v>1488</v>
      </c>
      <c r="J219" s="18" t="s">
        <v>1489</v>
      </c>
      <c r="K219" s="18" t="s">
        <v>1377</v>
      </c>
      <c r="L219" s="18"/>
      <c r="M219" s="18" t="s">
        <v>119</v>
      </c>
      <c r="N219" s="18"/>
      <c r="O219" s="18"/>
      <c r="P219" s="18"/>
      <c r="Q219" s="18"/>
      <c r="R219" s="18"/>
    </row>
    <row r="220" ht="30" customHeight="1" spans="1:18">
      <c r="A220" s="18" t="s">
        <v>1490</v>
      </c>
      <c r="B220" s="18" t="s">
        <v>1440</v>
      </c>
      <c r="C220" s="18" t="s">
        <v>1472</v>
      </c>
      <c r="D220" s="18" t="s">
        <v>1491</v>
      </c>
      <c r="E220" s="18" t="s">
        <v>113</v>
      </c>
      <c r="F220" s="18"/>
      <c r="G220" s="18" t="s">
        <v>1492</v>
      </c>
      <c r="H220" s="18" t="s">
        <v>1493</v>
      </c>
      <c r="I220" s="18" t="s">
        <v>1494</v>
      </c>
      <c r="J220" s="18" t="s">
        <v>1495</v>
      </c>
      <c r="K220" s="18" t="s">
        <v>1377</v>
      </c>
      <c r="L220" s="18"/>
      <c r="M220" s="18" t="s">
        <v>119</v>
      </c>
      <c r="N220" s="18"/>
      <c r="O220" s="18"/>
      <c r="P220" s="18"/>
      <c r="Q220" s="18"/>
      <c r="R220" s="18"/>
    </row>
    <row r="221" ht="30" customHeight="1" spans="1:18">
      <c r="A221" s="18" t="s">
        <v>1496</v>
      </c>
      <c r="B221" s="18" t="s">
        <v>1440</v>
      </c>
      <c r="C221" s="18" t="s">
        <v>1472</v>
      </c>
      <c r="D221" s="18" t="s">
        <v>1497</v>
      </c>
      <c r="E221" s="18" t="s">
        <v>113</v>
      </c>
      <c r="F221" s="18"/>
      <c r="G221" s="18" t="s">
        <v>1498</v>
      </c>
      <c r="H221" s="18" t="s">
        <v>1499</v>
      </c>
      <c r="I221" s="18" t="s">
        <v>1500</v>
      </c>
      <c r="J221" s="18" t="s">
        <v>1501</v>
      </c>
      <c r="K221" s="18" t="s">
        <v>1377</v>
      </c>
      <c r="L221" s="18"/>
      <c r="M221" s="18" t="s">
        <v>119</v>
      </c>
      <c r="N221" s="18"/>
      <c r="O221" s="18"/>
      <c r="P221" s="18"/>
      <c r="Q221" s="18"/>
      <c r="R221" s="18"/>
    </row>
    <row r="222" ht="30" customHeight="1" spans="1:18">
      <c r="A222" s="18" t="s">
        <v>1502</v>
      </c>
      <c r="B222" s="18" t="s">
        <v>1440</v>
      </c>
      <c r="C222" s="18" t="s">
        <v>1472</v>
      </c>
      <c r="D222" s="18" t="s">
        <v>1503</v>
      </c>
      <c r="E222" s="18" t="s">
        <v>113</v>
      </c>
      <c r="F222" s="18"/>
      <c r="G222" s="18" t="s">
        <v>1504</v>
      </c>
      <c r="H222" s="18" t="s">
        <v>1505</v>
      </c>
      <c r="I222" s="18" t="s">
        <v>1494</v>
      </c>
      <c r="J222" s="18" t="s">
        <v>1506</v>
      </c>
      <c r="K222" s="18" t="s">
        <v>1377</v>
      </c>
      <c r="L222" s="18"/>
      <c r="M222" s="18" t="s">
        <v>119</v>
      </c>
      <c r="N222" s="18"/>
      <c r="O222" s="18"/>
      <c r="P222" s="18"/>
      <c r="Q222" s="18"/>
      <c r="R222" s="18"/>
    </row>
    <row r="223" ht="30" customHeight="1" spans="1:18">
      <c r="A223" s="18" t="s">
        <v>1507</v>
      </c>
      <c r="B223" s="18" t="s">
        <v>1440</v>
      </c>
      <c r="C223" s="18" t="s">
        <v>1472</v>
      </c>
      <c r="D223" s="18" t="s">
        <v>1508</v>
      </c>
      <c r="E223" s="18" t="s">
        <v>1509</v>
      </c>
      <c r="F223" s="18"/>
      <c r="G223" s="18" t="s">
        <v>1510</v>
      </c>
      <c r="H223" s="18" t="s">
        <v>1511</v>
      </c>
      <c r="I223" s="18" t="s">
        <v>1512</v>
      </c>
      <c r="J223" s="18" t="s">
        <v>1513</v>
      </c>
      <c r="K223" s="18" t="s">
        <v>1377</v>
      </c>
      <c r="L223" s="18"/>
      <c r="M223" s="18" t="s">
        <v>119</v>
      </c>
      <c r="N223" s="18"/>
      <c r="O223" s="18"/>
      <c r="P223" s="18"/>
      <c r="Q223" s="18"/>
      <c r="R223" s="18"/>
    </row>
    <row r="224" ht="30" customHeight="1" spans="1:18">
      <c r="A224" s="18" t="s">
        <v>1514</v>
      </c>
      <c r="B224" s="18" t="s">
        <v>1440</v>
      </c>
      <c r="C224" s="18" t="s">
        <v>1472</v>
      </c>
      <c r="D224" s="18" t="s">
        <v>1515</v>
      </c>
      <c r="E224" s="18" t="s">
        <v>1516</v>
      </c>
      <c r="F224" s="18"/>
      <c r="G224" s="18" t="s">
        <v>1517</v>
      </c>
      <c r="H224" s="18" t="s">
        <v>1518</v>
      </c>
      <c r="I224" s="18" t="s">
        <v>1519</v>
      </c>
      <c r="J224" s="18" t="s">
        <v>1520</v>
      </c>
      <c r="K224" s="18" t="s">
        <v>1446</v>
      </c>
      <c r="L224" s="18"/>
      <c r="M224" s="18" t="s">
        <v>119</v>
      </c>
      <c r="N224" s="18"/>
      <c r="O224" s="18"/>
      <c r="P224" s="18"/>
      <c r="Q224" s="18"/>
      <c r="R224" s="18"/>
    </row>
    <row r="225" ht="30" customHeight="1" spans="1:18">
      <c r="A225" s="18" t="s">
        <v>1521</v>
      </c>
      <c r="B225" s="18" t="s">
        <v>1522</v>
      </c>
      <c r="C225" s="18" t="s">
        <v>1472</v>
      </c>
      <c r="D225" s="18" t="s">
        <v>1523</v>
      </c>
      <c r="E225" s="18" t="s">
        <v>1524</v>
      </c>
      <c r="F225" s="18"/>
      <c r="G225" s="18" t="s">
        <v>1525</v>
      </c>
      <c r="H225" s="18" t="s">
        <v>1526</v>
      </c>
      <c r="I225" s="18" t="s">
        <v>1527</v>
      </c>
      <c r="J225" s="18" t="s">
        <v>1528</v>
      </c>
      <c r="K225" s="18" t="s">
        <v>1446</v>
      </c>
      <c r="L225" s="18"/>
      <c r="M225" s="18" t="s">
        <v>119</v>
      </c>
      <c r="N225" s="18"/>
      <c r="O225" s="18"/>
      <c r="P225" s="18"/>
      <c r="Q225" s="18"/>
      <c r="R225" s="18"/>
    </row>
    <row r="226" ht="30" customHeight="1" spans="1:18">
      <c r="A226" s="18" t="s">
        <v>1529</v>
      </c>
      <c r="B226" s="18" t="s">
        <v>1522</v>
      </c>
      <c r="C226" s="18" t="s">
        <v>1472</v>
      </c>
      <c r="D226" s="18" t="s">
        <v>1530</v>
      </c>
      <c r="E226" s="18" t="s">
        <v>113</v>
      </c>
      <c r="F226" s="18"/>
      <c r="G226" s="18" t="s">
        <v>1531</v>
      </c>
      <c r="H226" s="18" t="s">
        <v>1532</v>
      </c>
      <c r="I226" s="18" t="s">
        <v>1533</v>
      </c>
      <c r="J226" s="18" t="s">
        <v>1534</v>
      </c>
      <c r="K226" s="18" t="s">
        <v>1446</v>
      </c>
      <c r="L226" s="18"/>
      <c r="M226" s="18" t="s">
        <v>119</v>
      </c>
      <c r="N226" s="18"/>
      <c r="O226" s="18"/>
      <c r="P226" s="18"/>
      <c r="Q226" s="18"/>
      <c r="R226" s="18"/>
    </row>
    <row r="227" ht="30" customHeight="1" spans="1:18">
      <c r="A227" s="18" t="s">
        <v>1535</v>
      </c>
      <c r="B227" s="18" t="s">
        <v>1522</v>
      </c>
      <c r="C227" s="18" t="s">
        <v>1472</v>
      </c>
      <c r="D227" s="18" t="s">
        <v>1536</v>
      </c>
      <c r="E227" s="18" t="s">
        <v>113</v>
      </c>
      <c r="F227" s="18"/>
      <c r="G227" s="18" t="s">
        <v>1537</v>
      </c>
      <c r="H227" s="18" t="s">
        <v>1538</v>
      </c>
      <c r="I227" s="18" t="s">
        <v>1539</v>
      </c>
      <c r="J227" s="18" t="s">
        <v>1540</v>
      </c>
      <c r="K227" s="18" t="s">
        <v>1446</v>
      </c>
      <c r="L227" s="18"/>
      <c r="M227" s="18" t="s">
        <v>119</v>
      </c>
      <c r="N227" s="18"/>
      <c r="O227" s="18"/>
      <c r="P227" s="18"/>
      <c r="Q227" s="18"/>
      <c r="R227" s="18"/>
    </row>
    <row r="228" ht="30" customHeight="1" spans="1:18">
      <c r="A228" s="18" t="s">
        <v>1541</v>
      </c>
      <c r="B228" s="18" t="s">
        <v>1522</v>
      </c>
      <c r="C228" s="18" t="s">
        <v>1472</v>
      </c>
      <c r="D228" s="18" t="s">
        <v>1542</v>
      </c>
      <c r="E228" s="18" t="s">
        <v>113</v>
      </c>
      <c r="F228" s="18"/>
      <c r="G228" s="18" t="s">
        <v>1543</v>
      </c>
      <c r="H228" s="18" t="s">
        <v>1544</v>
      </c>
      <c r="I228" s="18" t="s">
        <v>1545</v>
      </c>
      <c r="J228" s="18" t="s">
        <v>1546</v>
      </c>
      <c r="K228" s="18" t="s">
        <v>1446</v>
      </c>
      <c r="L228" s="18"/>
      <c r="M228" s="18" t="s">
        <v>119</v>
      </c>
      <c r="N228" s="18"/>
      <c r="O228" s="18"/>
      <c r="P228" s="18"/>
      <c r="Q228" s="18"/>
      <c r="R228" s="18"/>
    </row>
    <row r="229" ht="30" customHeight="1" spans="1:18">
      <c r="A229" s="18" t="s">
        <v>1547</v>
      </c>
      <c r="B229" s="18" t="s">
        <v>1548</v>
      </c>
      <c r="C229" s="18" t="s">
        <v>1549</v>
      </c>
      <c r="D229" s="18" t="s">
        <v>1550</v>
      </c>
      <c r="E229" s="18" t="s">
        <v>1551</v>
      </c>
      <c r="F229" s="18"/>
      <c r="G229" s="18" t="s">
        <v>1552</v>
      </c>
      <c r="H229" s="18" t="s">
        <v>1550</v>
      </c>
      <c r="I229" s="18" t="s">
        <v>1553</v>
      </c>
      <c r="J229" s="18" t="s">
        <v>1554</v>
      </c>
      <c r="K229" s="18" t="s">
        <v>138</v>
      </c>
      <c r="L229" s="18"/>
      <c r="M229" s="18" t="s">
        <v>119</v>
      </c>
      <c r="N229" s="18"/>
      <c r="O229" s="18"/>
      <c r="P229" s="18"/>
      <c r="Q229" s="18"/>
      <c r="R229" s="18"/>
    </row>
    <row r="230" ht="30" customHeight="1" spans="1:18">
      <c r="A230" s="18" t="s">
        <v>1555</v>
      </c>
      <c r="B230" s="18" t="s">
        <v>1548</v>
      </c>
      <c r="C230" s="18" t="s">
        <v>1549</v>
      </c>
      <c r="D230" s="18" t="s">
        <v>1556</v>
      </c>
      <c r="E230" s="18" t="s">
        <v>1551</v>
      </c>
      <c r="F230" s="18"/>
      <c r="G230" s="18" t="s">
        <v>1552</v>
      </c>
      <c r="H230" s="18" t="s">
        <v>1556</v>
      </c>
      <c r="I230" s="18" t="s">
        <v>1557</v>
      </c>
      <c r="J230" s="18" t="s">
        <v>1558</v>
      </c>
      <c r="K230" s="18" t="s">
        <v>138</v>
      </c>
      <c r="L230" s="18"/>
      <c r="M230" s="18" t="s">
        <v>119</v>
      </c>
      <c r="N230" s="18"/>
      <c r="O230" s="18"/>
      <c r="P230" s="18"/>
      <c r="Q230" s="18"/>
      <c r="R230" s="18"/>
    </row>
    <row r="231" ht="30" customHeight="1" spans="1:18">
      <c r="A231" s="18" t="s">
        <v>1559</v>
      </c>
      <c r="B231" s="18" t="s">
        <v>1548</v>
      </c>
      <c r="C231" s="18" t="s">
        <v>1560</v>
      </c>
      <c r="D231" s="18" t="s">
        <v>1561</v>
      </c>
      <c r="E231" s="18" t="s">
        <v>1562</v>
      </c>
      <c r="F231" s="18"/>
      <c r="G231" s="18" t="s">
        <v>1563</v>
      </c>
      <c r="H231" s="18" t="s">
        <v>1561</v>
      </c>
      <c r="I231" s="18" t="s">
        <v>800</v>
      </c>
      <c r="J231" s="18" t="s">
        <v>1564</v>
      </c>
      <c r="K231" s="18" t="s">
        <v>138</v>
      </c>
      <c r="L231" s="18"/>
      <c r="M231" s="18" t="s">
        <v>119</v>
      </c>
      <c r="N231" s="18"/>
      <c r="O231" s="18"/>
      <c r="P231" s="18"/>
      <c r="Q231" s="18"/>
      <c r="R231" s="18"/>
    </row>
    <row r="232" ht="30" customHeight="1" spans="1:18">
      <c r="A232" s="18" t="s">
        <v>1565</v>
      </c>
      <c r="B232" s="18" t="s">
        <v>1548</v>
      </c>
      <c r="C232" s="18" t="s">
        <v>1566</v>
      </c>
      <c r="D232" s="18" t="s">
        <v>1567</v>
      </c>
      <c r="E232" s="18" t="s">
        <v>1568</v>
      </c>
      <c r="F232" s="18"/>
      <c r="G232" s="18" t="s">
        <v>1569</v>
      </c>
      <c r="H232" s="18" t="s">
        <v>1567</v>
      </c>
      <c r="I232" s="18" t="s">
        <v>1570</v>
      </c>
      <c r="J232" s="18" t="s">
        <v>1193</v>
      </c>
      <c r="K232" s="18" t="s">
        <v>138</v>
      </c>
      <c r="L232" s="18"/>
      <c r="M232" s="18" t="s">
        <v>119</v>
      </c>
      <c r="N232" s="18"/>
      <c r="O232" s="18"/>
      <c r="P232" s="18"/>
      <c r="Q232" s="18"/>
      <c r="R232" s="18"/>
    </row>
    <row r="233" ht="30" customHeight="1" spans="1:18">
      <c r="A233" s="18" t="s">
        <v>1571</v>
      </c>
      <c r="B233" s="18" t="s">
        <v>1548</v>
      </c>
      <c r="C233" s="18" t="s">
        <v>1572</v>
      </c>
      <c r="D233" s="18" t="s">
        <v>1573</v>
      </c>
      <c r="E233" s="18" t="s">
        <v>1574</v>
      </c>
      <c r="F233" s="18"/>
      <c r="G233" s="18" t="s">
        <v>1575</v>
      </c>
      <c r="H233" s="18" t="s">
        <v>1573</v>
      </c>
      <c r="I233" s="18" t="s">
        <v>1576</v>
      </c>
      <c r="J233" s="18" t="s">
        <v>1577</v>
      </c>
      <c r="K233" s="18" t="s">
        <v>138</v>
      </c>
      <c r="L233" s="18"/>
      <c r="M233" s="18" t="s">
        <v>119</v>
      </c>
      <c r="N233" s="18"/>
      <c r="O233" s="18"/>
      <c r="P233" s="18"/>
      <c r="Q233" s="18"/>
      <c r="R233" s="18"/>
    </row>
    <row r="234" ht="30" customHeight="1" spans="1:18">
      <c r="A234" s="18" t="s">
        <v>1578</v>
      </c>
      <c r="B234" s="18" t="s">
        <v>1548</v>
      </c>
      <c r="C234" s="18" t="s">
        <v>1572</v>
      </c>
      <c r="D234" s="18" t="s">
        <v>1579</v>
      </c>
      <c r="E234" s="18" t="s">
        <v>1574</v>
      </c>
      <c r="F234" s="18"/>
      <c r="G234" s="18" t="s">
        <v>1575</v>
      </c>
      <c r="H234" s="18" t="s">
        <v>1579</v>
      </c>
      <c r="I234" s="18" t="s">
        <v>1580</v>
      </c>
      <c r="J234" s="18" t="s">
        <v>1581</v>
      </c>
      <c r="K234" s="18" t="s">
        <v>138</v>
      </c>
      <c r="L234" s="18"/>
      <c r="M234" s="18" t="s">
        <v>119</v>
      </c>
      <c r="N234" s="18"/>
      <c r="O234" s="18"/>
      <c r="P234" s="18"/>
      <c r="Q234" s="18"/>
      <c r="R234" s="18"/>
    </row>
    <row r="235" ht="30" customHeight="1" spans="1:18">
      <c r="A235" s="18" t="s">
        <v>1582</v>
      </c>
      <c r="B235" s="18" t="s">
        <v>1548</v>
      </c>
      <c r="C235" s="18" t="s">
        <v>1583</v>
      </c>
      <c r="D235" s="18" t="s">
        <v>1584</v>
      </c>
      <c r="E235" s="18" t="s">
        <v>1585</v>
      </c>
      <c r="F235" s="18"/>
      <c r="G235" s="18" t="s">
        <v>1586</v>
      </c>
      <c r="H235" s="18" t="s">
        <v>1584</v>
      </c>
      <c r="I235" s="18" t="s">
        <v>1587</v>
      </c>
      <c r="J235" s="18" t="s">
        <v>1588</v>
      </c>
      <c r="K235" s="18" t="s">
        <v>138</v>
      </c>
      <c r="L235" s="18"/>
      <c r="M235" s="18" t="s">
        <v>119</v>
      </c>
      <c r="N235" s="18"/>
      <c r="O235" s="18"/>
      <c r="P235" s="18"/>
      <c r="Q235" s="18"/>
      <c r="R235" s="18"/>
    </row>
    <row r="236" ht="30" customHeight="1" spans="1:18">
      <c r="A236" s="18" t="s">
        <v>1589</v>
      </c>
      <c r="B236" s="18" t="s">
        <v>1548</v>
      </c>
      <c r="C236" s="18" t="s">
        <v>1590</v>
      </c>
      <c r="D236" s="18" t="s">
        <v>1591</v>
      </c>
      <c r="E236" s="18" t="s">
        <v>1592</v>
      </c>
      <c r="F236" s="18"/>
      <c r="G236" s="18" t="s">
        <v>1593</v>
      </c>
      <c r="H236" s="18" t="s">
        <v>1591</v>
      </c>
      <c r="I236" s="18" t="s">
        <v>1594</v>
      </c>
      <c r="J236" s="18" t="s">
        <v>1595</v>
      </c>
      <c r="K236" s="18" t="s">
        <v>138</v>
      </c>
      <c r="L236" s="18"/>
      <c r="M236" s="18" t="s">
        <v>119</v>
      </c>
      <c r="N236" s="18"/>
      <c r="O236" s="18"/>
      <c r="P236" s="18"/>
      <c r="Q236" s="18"/>
      <c r="R236" s="18"/>
    </row>
    <row r="237" ht="30" customHeight="1" spans="1:18">
      <c r="A237" s="18" t="s">
        <v>1596</v>
      </c>
      <c r="B237" s="18" t="s">
        <v>1548</v>
      </c>
      <c r="C237" s="18" t="s">
        <v>1597</v>
      </c>
      <c r="D237" s="18" t="s">
        <v>1598</v>
      </c>
      <c r="E237" s="18" t="s">
        <v>1599</v>
      </c>
      <c r="F237" s="18"/>
      <c r="G237" s="18" t="s">
        <v>1600</v>
      </c>
      <c r="H237" s="18" t="s">
        <v>1598</v>
      </c>
      <c r="I237" s="18" t="s">
        <v>1601</v>
      </c>
      <c r="J237" s="18" t="s">
        <v>1602</v>
      </c>
      <c r="K237" s="18" t="s">
        <v>138</v>
      </c>
      <c r="L237" s="18"/>
      <c r="M237" s="18" t="s">
        <v>119</v>
      </c>
      <c r="N237" s="18"/>
      <c r="O237" s="18"/>
      <c r="P237" s="18"/>
      <c r="Q237" s="18"/>
      <c r="R237" s="18"/>
    </row>
    <row r="238" ht="30" customHeight="1" spans="1:18">
      <c r="A238" s="18" t="s">
        <v>1603</v>
      </c>
      <c r="B238" s="18" t="s">
        <v>1548</v>
      </c>
      <c r="C238" s="18" t="s">
        <v>1604</v>
      </c>
      <c r="D238" s="18" t="s">
        <v>1605</v>
      </c>
      <c r="E238" s="18" t="s">
        <v>1606</v>
      </c>
      <c r="F238" s="18"/>
      <c r="G238" s="18" t="s">
        <v>1607</v>
      </c>
      <c r="H238" s="18" t="s">
        <v>1605</v>
      </c>
      <c r="I238" s="18" t="s">
        <v>1608</v>
      </c>
      <c r="J238" s="18" t="s">
        <v>1609</v>
      </c>
      <c r="K238" s="18" t="s">
        <v>138</v>
      </c>
      <c r="L238" s="18"/>
      <c r="M238" s="18" t="s">
        <v>119</v>
      </c>
      <c r="N238" s="18"/>
      <c r="O238" s="18"/>
      <c r="P238" s="18"/>
      <c r="Q238" s="18"/>
      <c r="R238" s="18"/>
    </row>
    <row r="239" ht="30" customHeight="1" spans="1:18">
      <c r="A239" s="18" t="s">
        <v>1610</v>
      </c>
      <c r="B239" s="18" t="s">
        <v>1548</v>
      </c>
      <c r="C239" s="18" t="s">
        <v>1611</v>
      </c>
      <c r="D239" s="18" t="s">
        <v>1612</v>
      </c>
      <c r="E239" s="18" t="s">
        <v>1613</v>
      </c>
      <c r="F239" s="18"/>
      <c r="G239" s="18" t="s">
        <v>1614</v>
      </c>
      <c r="H239" s="18" t="s">
        <v>1612</v>
      </c>
      <c r="I239" s="18" t="s">
        <v>1615</v>
      </c>
      <c r="J239" s="18" t="s">
        <v>1616</v>
      </c>
      <c r="K239" s="18" t="s">
        <v>138</v>
      </c>
      <c r="L239" s="18"/>
      <c r="M239" s="18" t="s">
        <v>119</v>
      </c>
      <c r="N239" s="18"/>
      <c r="O239" s="18"/>
      <c r="P239" s="18"/>
      <c r="Q239" s="18"/>
      <c r="R239" s="18"/>
    </row>
    <row r="240" ht="30" customHeight="1" spans="1:18">
      <c r="A240" s="18" t="s">
        <v>1617</v>
      </c>
      <c r="B240" s="18" t="s">
        <v>1548</v>
      </c>
      <c r="C240" s="18" t="s">
        <v>1618</v>
      </c>
      <c r="D240" s="18" t="s">
        <v>1619</v>
      </c>
      <c r="E240" s="18" t="s">
        <v>1620</v>
      </c>
      <c r="F240" s="18"/>
      <c r="G240" s="18" t="s">
        <v>1621</v>
      </c>
      <c r="H240" s="18" t="s">
        <v>1619</v>
      </c>
      <c r="I240" s="18" t="s">
        <v>1622</v>
      </c>
      <c r="J240" s="18" t="s">
        <v>1623</v>
      </c>
      <c r="K240" s="18" t="s">
        <v>138</v>
      </c>
      <c r="L240" s="18"/>
      <c r="M240" s="18" t="s">
        <v>119</v>
      </c>
      <c r="N240" s="18"/>
      <c r="O240" s="18"/>
      <c r="P240" s="18"/>
      <c r="Q240" s="18"/>
      <c r="R240" s="18"/>
    </row>
    <row r="241" ht="30" customHeight="1" spans="1:18">
      <c r="A241" s="18" t="s">
        <v>1624</v>
      </c>
      <c r="B241" s="18" t="s">
        <v>1548</v>
      </c>
      <c r="C241" s="18" t="s">
        <v>1625</v>
      </c>
      <c r="D241" s="18" t="s">
        <v>1626</v>
      </c>
      <c r="E241" s="18" t="s">
        <v>1627</v>
      </c>
      <c r="F241" s="18"/>
      <c r="G241" s="18" t="s">
        <v>1628</v>
      </c>
      <c r="H241" s="18" t="s">
        <v>1626</v>
      </c>
      <c r="I241" s="18" t="s">
        <v>1629</v>
      </c>
      <c r="J241" s="18" t="s">
        <v>1630</v>
      </c>
      <c r="K241" s="18" t="s">
        <v>138</v>
      </c>
      <c r="L241" s="18"/>
      <c r="M241" s="18" t="s">
        <v>119</v>
      </c>
      <c r="N241" s="18"/>
      <c r="O241" s="18"/>
      <c r="P241" s="18"/>
      <c r="Q241" s="18"/>
      <c r="R241" s="18"/>
    </row>
    <row r="242" ht="30" customHeight="1" spans="1:18">
      <c r="A242" s="18" t="s">
        <v>1631</v>
      </c>
      <c r="B242" s="18" t="s">
        <v>1548</v>
      </c>
      <c r="C242" s="18" t="s">
        <v>1632</v>
      </c>
      <c r="D242" s="18" t="s">
        <v>1633</v>
      </c>
      <c r="E242" s="18" t="s">
        <v>1634</v>
      </c>
      <c r="F242" s="18"/>
      <c r="G242" s="18" t="s">
        <v>1635</v>
      </c>
      <c r="H242" s="18" t="s">
        <v>1633</v>
      </c>
      <c r="I242" s="18" t="s">
        <v>1636</v>
      </c>
      <c r="J242" s="18" t="s">
        <v>1637</v>
      </c>
      <c r="K242" s="18" t="s">
        <v>138</v>
      </c>
      <c r="L242" s="18"/>
      <c r="M242" s="18" t="s">
        <v>119</v>
      </c>
      <c r="N242" s="18"/>
      <c r="O242" s="18"/>
      <c r="P242" s="18"/>
      <c r="Q242" s="18"/>
      <c r="R242" s="18"/>
    </row>
    <row r="243" ht="30" customHeight="1" spans="1:18">
      <c r="A243" s="18" t="s">
        <v>1638</v>
      </c>
      <c r="B243" s="18" t="s">
        <v>1548</v>
      </c>
      <c r="C243" s="18" t="s">
        <v>1639</v>
      </c>
      <c r="D243" s="18" t="s">
        <v>1640</v>
      </c>
      <c r="E243" s="18" t="s">
        <v>1641</v>
      </c>
      <c r="F243" s="18"/>
      <c r="G243" s="18" t="s">
        <v>1642</v>
      </c>
      <c r="H243" s="18" t="s">
        <v>1640</v>
      </c>
      <c r="I243" s="18" t="s">
        <v>1643</v>
      </c>
      <c r="J243" s="18" t="s">
        <v>1644</v>
      </c>
      <c r="K243" s="18" t="s">
        <v>138</v>
      </c>
      <c r="L243" s="18"/>
      <c r="M243" s="18" t="s">
        <v>119</v>
      </c>
      <c r="N243" s="18"/>
      <c r="O243" s="18"/>
      <c r="P243" s="18"/>
      <c r="Q243" s="18"/>
      <c r="R243" s="18"/>
    </row>
    <row r="244" ht="30" customHeight="1" spans="1:18">
      <c r="A244" s="18" t="s">
        <v>1645</v>
      </c>
      <c r="B244" s="18" t="s">
        <v>1548</v>
      </c>
      <c r="C244" s="18" t="s">
        <v>1646</v>
      </c>
      <c r="D244" s="18" t="s">
        <v>1647</v>
      </c>
      <c r="E244" s="18" t="s">
        <v>1648</v>
      </c>
      <c r="F244" s="18"/>
      <c r="G244" s="18" t="s">
        <v>1649</v>
      </c>
      <c r="H244" s="18" t="s">
        <v>1647</v>
      </c>
      <c r="I244" s="18" t="s">
        <v>1650</v>
      </c>
      <c r="J244" s="18" t="s">
        <v>1651</v>
      </c>
      <c r="K244" s="18" t="s">
        <v>138</v>
      </c>
      <c r="L244" s="18"/>
      <c r="M244" s="18" t="s">
        <v>119</v>
      </c>
      <c r="N244" s="18"/>
      <c r="O244" s="18"/>
      <c r="P244" s="18"/>
      <c r="Q244" s="18"/>
      <c r="R244" s="18"/>
    </row>
    <row r="245" ht="30" customHeight="1" spans="1:18">
      <c r="A245" s="18" t="s">
        <v>1652</v>
      </c>
      <c r="B245" s="18" t="s">
        <v>1548</v>
      </c>
      <c r="C245" s="18" t="s">
        <v>1653</v>
      </c>
      <c r="D245" s="18" t="s">
        <v>1654</v>
      </c>
      <c r="E245" s="18" t="s">
        <v>1655</v>
      </c>
      <c r="F245" s="18"/>
      <c r="G245" s="18" t="s">
        <v>1656</v>
      </c>
      <c r="H245" s="18" t="s">
        <v>1654</v>
      </c>
      <c r="I245" s="18" t="s">
        <v>1657</v>
      </c>
      <c r="J245" s="18" t="s">
        <v>1658</v>
      </c>
      <c r="K245" s="18" t="s">
        <v>138</v>
      </c>
      <c r="L245" s="18"/>
      <c r="M245" s="18" t="s">
        <v>119</v>
      </c>
      <c r="N245" s="18"/>
      <c r="O245" s="18"/>
      <c r="P245" s="18"/>
      <c r="Q245" s="18"/>
      <c r="R245" s="18"/>
    </row>
    <row r="246" ht="30" customHeight="1" spans="1:18">
      <c r="A246" s="18" t="s">
        <v>1659</v>
      </c>
      <c r="B246" s="18" t="s">
        <v>1548</v>
      </c>
      <c r="C246" s="18" t="s">
        <v>1660</v>
      </c>
      <c r="D246" s="18" t="s">
        <v>1661</v>
      </c>
      <c r="E246" s="18" t="s">
        <v>1662</v>
      </c>
      <c r="F246" s="18"/>
      <c r="G246" s="18" t="s">
        <v>1663</v>
      </c>
      <c r="H246" s="18" t="s">
        <v>1661</v>
      </c>
      <c r="I246" s="18" t="s">
        <v>1664</v>
      </c>
      <c r="J246" s="18" t="s">
        <v>1665</v>
      </c>
      <c r="K246" s="18" t="s">
        <v>138</v>
      </c>
      <c r="L246" s="18"/>
      <c r="M246" s="18" t="s">
        <v>119</v>
      </c>
      <c r="N246" s="18"/>
      <c r="O246" s="18"/>
      <c r="P246" s="18"/>
      <c r="Q246" s="18"/>
      <c r="R246" s="18"/>
    </row>
    <row r="247" ht="30" customHeight="1" spans="1:18">
      <c r="A247" s="18" t="s">
        <v>1666</v>
      </c>
      <c r="B247" s="18" t="s">
        <v>1548</v>
      </c>
      <c r="C247" s="18" t="s">
        <v>1667</v>
      </c>
      <c r="D247" s="18" t="s">
        <v>1668</v>
      </c>
      <c r="E247" s="18" t="s">
        <v>1669</v>
      </c>
      <c r="F247" s="18"/>
      <c r="G247" s="18" t="s">
        <v>1670</v>
      </c>
      <c r="H247" s="18" t="s">
        <v>1668</v>
      </c>
      <c r="I247" s="18" t="s">
        <v>1671</v>
      </c>
      <c r="J247" s="18" t="s">
        <v>1672</v>
      </c>
      <c r="K247" s="18" t="s">
        <v>138</v>
      </c>
      <c r="L247" s="18"/>
      <c r="M247" s="18" t="s">
        <v>119</v>
      </c>
      <c r="N247" s="18"/>
      <c r="O247" s="18"/>
      <c r="P247" s="18"/>
      <c r="Q247" s="18"/>
      <c r="R247" s="18"/>
    </row>
    <row r="248" ht="30" customHeight="1" spans="1:18">
      <c r="A248" s="18" t="s">
        <v>1673</v>
      </c>
      <c r="B248" s="18" t="s">
        <v>1548</v>
      </c>
      <c r="C248" s="18" t="s">
        <v>1674</v>
      </c>
      <c r="D248" s="18" t="s">
        <v>1675</v>
      </c>
      <c r="E248" s="18" t="s">
        <v>1676</v>
      </c>
      <c r="F248" s="18"/>
      <c r="G248" s="18" t="s">
        <v>1677</v>
      </c>
      <c r="H248" s="18" t="s">
        <v>1675</v>
      </c>
      <c r="I248" s="18" t="s">
        <v>1678</v>
      </c>
      <c r="J248" s="18" t="s">
        <v>1679</v>
      </c>
      <c r="K248" s="18" t="s">
        <v>138</v>
      </c>
      <c r="L248" s="18"/>
      <c r="M248" s="18" t="s">
        <v>119</v>
      </c>
      <c r="N248" s="18"/>
      <c r="O248" s="18"/>
      <c r="P248" s="18"/>
      <c r="Q248" s="18"/>
      <c r="R248" s="18"/>
    </row>
    <row r="249" ht="30" customHeight="1" spans="1:18">
      <c r="A249" s="18" t="s">
        <v>1680</v>
      </c>
      <c r="B249" s="18" t="s">
        <v>1548</v>
      </c>
      <c r="C249" s="18" t="s">
        <v>1681</v>
      </c>
      <c r="D249" s="18" t="s">
        <v>1682</v>
      </c>
      <c r="E249" s="18" t="s">
        <v>1683</v>
      </c>
      <c r="F249" s="18"/>
      <c r="G249" s="18" t="s">
        <v>1684</v>
      </c>
      <c r="H249" s="18" t="s">
        <v>1682</v>
      </c>
      <c r="I249" s="18" t="s">
        <v>1685</v>
      </c>
      <c r="J249" s="18" t="s">
        <v>1686</v>
      </c>
      <c r="K249" s="18" t="s">
        <v>138</v>
      </c>
      <c r="L249" s="18"/>
      <c r="M249" s="18" t="s">
        <v>119</v>
      </c>
      <c r="N249" s="18"/>
      <c r="O249" s="18"/>
      <c r="P249" s="18"/>
      <c r="Q249" s="18"/>
      <c r="R249" s="18"/>
    </row>
    <row r="250" ht="30" customHeight="1" spans="1:18">
      <c r="A250" s="18" t="s">
        <v>1687</v>
      </c>
      <c r="B250" s="18" t="s">
        <v>1548</v>
      </c>
      <c r="C250" s="18" t="s">
        <v>1688</v>
      </c>
      <c r="D250" s="18" t="s">
        <v>1689</v>
      </c>
      <c r="E250" s="18" t="s">
        <v>1690</v>
      </c>
      <c r="F250" s="18"/>
      <c r="G250" s="18" t="s">
        <v>1691</v>
      </c>
      <c r="H250" s="18" t="s">
        <v>1689</v>
      </c>
      <c r="I250" s="18" t="s">
        <v>1692</v>
      </c>
      <c r="J250" s="18" t="s">
        <v>1693</v>
      </c>
      <c r="K250" s="18" t="s">
        <v>138</v>
      </c>
      <c r="L250" s="18"/>
      <c r="M250" s="18" t="s">
        <v>119</v>
      </c>
      <c r="N250" s="18"/>
      <c r="O250" s="18"/>
      <c r="P250" s="18"/>
      <c r="Q250" s="18"/>
      <c r="R250" s="18"/>
    </row>
    <row r="251" ht="30" customHeight="1" spans="1:18">
      <c r="A251" s="18" t="s">
        <v>1694</v>
      </c>
      <c r="B251" s="18" t="s">
        <v>1695</v>
      </c>
      <c r="C251" s="18" t="s">
        <v>1696</v>
      </c>
      <c r="D251" s="18" t="s">
        <v>1697</v>
      </c>
      <c r="E251" s="18" t="s">
        <v>1698</v>
      </c>
      <c r="F251" s="18"/>
      <c r="G251" s="18" t="s">
        <v>1699</v>
      </c>
      <c r="H251" s="18" t="s">
        <v>1700</v>
      </c>
      <c r="I251" s="18" t="s">
        <v>1701</v>
      </c>
      <c r="J251" s="18" t="s">
        <v>1702</v>
      </c>
      <c r="K251" s="18" t="s">
        <v>138</v>
      </c>
      <c r="L251" s="18"/>
      <c r="M251" s="18" t="s">
        <v>119</v>
      </c>
      <c r="N251" s="18"/>
      <c r="O251" s="18"/>
      <c r="P251" s="18"/>
      <c r="Q251" s="18"/>
      <c r="R251" s="18"/>
    </row>
    <row r="252" ht="30" customHeight="1" spans="1:18">
      <c r="A252" s="18" t="s">
        <v>1703</v>
      </c>
      <c r="B252" s="18" t="s">
        <v>1695</v>
      </c>
      <c r="C252" s="18" t="s">
        <v>1696</v>
      </c>
      <c r="D252" s="18" t="s">
        <v>1697</v>
      </c>
      <c r="E252" s="18" t="s">
        <v>1698</v>
      </c>
      <c r="F252" s="18"/>
      <c r="G252" s="18" t="s">
        <v>1699</v>
      </c>
      <c r="H252" s="18" t="s">
        <v>1700</v>
      </c>
      <c r="I252" s="18" t="s">
        <v>1701</v>
      </c>
      <c r="J252" s="18" t="s">
        <v>1702</v>
      </c>
      <c r="K252" s="18" t="s">
        <v>138</v>
      </c>
      <c r="L252" s="18"/>
      <c r="M252" s="18" t="s">
        <v>119</v>
      </c>
      <c r="N252" s="18"/>
      <c r="O252" s="18"/>
      <c r="P252" s="18"/>
      <c r="Q252" s="18"/>
      <c r="R252" s="18"/>
    </row>
    <row r="253" ht="30" customHeight="1" spans="1:18">
      <c r="A253" s="18" t="s">
        <v>1704</v>
      </c>
      <c r="B253" s="18" t="s">
        <v>1695</v>
      </c>
      <c r="C253" s="18" t="s">
        <v>1696</v>
      </c>
      <c r="D253" s="18" t="s">
        <v>1697</v>
      </c>
      <c r="E253" s="18" t="s">
        <v>1698</v>
      </c>
      <c r="F253" s="18"/>
      <c r="G253" s="18" t="s">
        <v>1699</v>
      </c>
      <c r="H253" s="18" t="s">
        <v>1700</v>
      </c>
      <c r="I253" s="18" t="s">
        <v>1701</v>
      </c>
      <c r="J253" s="18" t="s">
        <v>1702</v>
      </c>
      <c r="K253" s="18" t="s">
        <v>138</v>
      </c>
      <c r="L253" s="18"/>
      <c r="M253" s="18" t="s">
        <v>119</v>
      </c>
      <c r="N253" s="18"/>
      <c r="O253" s="18"/>
      <c r="P253" s="18"/>
      <c r="Q253" s="18"/>
      <c r="R253" s="18"/>
    </row>
    <row r="254" ht="30" customHeight="1" spans="1:18">
      <c r="A254" s="18" t="s">
        <v>1705</v>
      </c>
      <c r="B254" s="18" t="s">
        <v>1695</v>
      </c>
      <c r="C254" s="18" t="s">
        <v>1696</v>
      </c>
      <c r="D254" s="18" t="s">
        <v>1697</v>
      </c>
      <c r="E254" s="18" t="s">
        <v>1698</v>
      </c>
      <c r="F254" s="18"/>
      <c r="G254" s="18" t="s">
        <v>1699</v>
      </c>
      <c r="H254" s="18" t="s">
        <v>1700</v>
      </c>
      <c r="I254" s="18" t="s">
        <v>1701</v>
      </c>
      <c r="J254" s="18" t="s">
        <v>1702</v>
      </c>
      <c r="K254" s="18" t="s">
        <v>138</v>
      </c>
      <c r="L254" s="18"/>
      <c r="M254" s="18" t="s">
        <v>119</v>
      </c>
      <c r="N254" s="18"/>
      <c r="O254" s="18"/>
      <c r="P254" s="18"/>
      <c r="Q254" s="18"/>
      <c r="R254" s="18"/>
    </row>
    <row r="255" ht="30" customHeight="1" spans="1:18">
      <c r="A255" s="18" t="s">
        <v>1706</v>
      </c>
      <c r="B255" s="18" t="s">
        <v>1695</v>
      </c>
      <c r="C255" s="18" t="s">
        <v>1696</v>
      </c>
      <c r="D255" s="18" t="s">
        <v>1697</v>
      </c>
      <c r="E255" s="18" t="s">
        <v>1698</v>
      </c>
      <c r="F255" s="18"/>
      <c r="G255" s="18" t="s">
        <v>1699</v>
      </c>
      <c r="H255" s="18" t="s">
        <v>1700</v>
      </c>
      <c r="I255" s="18" t="s">
        <v>1701</v>
      </c>
      <c r="J255" s="18" t="s">
        <v>1702</v>
      </c>
      <c r="K255" s="18" t="s">
        <v>138</v>
      </c>
      <c r="L255" s="18"/>
      <c r="M255" s="18" t="s">
        <v>119</v>
      </c>
      <c r="N255" s="18"/>
      <c r="O255" s="18"/>
      <c r="P255" s="18"/>
      <c r="Q255" s="18"/>
      <c r="R255" s="18"/>
    </row>
    <row r="256" ht="30" customHeight="1" spans="1:18">
      <c r="A256" s="18" t="s">
        <v>1707</v>
      </c>
      <c r="B256" s="18" t="s">
        <v>1695</v>
      </c>
      <c r="C256" s="18" t="s">
        <v>1696</v>
      </c>
      <c r="D256" s="18" t="s">
        <v>1697</v>
      </c>
      <c r="E256" s="18" t="s">
        <v>1698</v>
      </c>
      <c r="F256" s="18"/>
      <c r="G256" s="18" t="s">
        <v>1699</v>
      </c>
      <c r="H256" s="18" t="s">
        <v>1700</v>
      </c>
      <c r="I256" s="18" t="s">
        <v>1701</v>
      </c>
      <c r="J256" s="18" t="s">
        <v>1702</v>
      </c>
      <c r="K256" s="18" t="s">
        <v>138</v>
      </c>
      <c r="L256" s="18"/>
      <c r="M256" s="18" t="s">
        <v>119</v>
      </c>
      <c r="N256" s="18"/>
      <c r="O256" s="18"/>
      <c r="P256" s="18"/>
      <c r="Q256" s="18"/>
      <c r="R256" s="18"/>
    </row>
    <row r="257" ht="30" customHeight="1" spans="1:18">
      <c r="A257" s="18" t="s">
        <v>1708</v>
      </c>
      <c r="B257" s="18" t="s">
        <v>1695</v>
      </c>
      <c r="C257" s="18" t="s">
        <v>1696</v>
      </c>
      <c r="D257" s="18" t="s">
        <v>1697</v>
      </c>
      <c r="E257" s="18" t="s">
        <v>1698</v>
      </c>
      <c r="F257" s="18"/>
      <c r="G257" s="18" t="s">
        <v>1699</v>
      </c>
      <c r="H257" s="18" t="s">
        <v>1700</v>
      </c>
      <c r="I257" s="18" t="s">
        <v>1701</v>
      </c>
      <c r="J257" s="18" t="s">
        <v>1702</v>
      </c>
      <c r="K257" s="18" t="s">
        <v>138</v>
      </c>
      <c r="L257" s="18"/>
      <c r="M257" s="18" t="s">
        <v>119</v>
      </c>
      <c r="N257" s="18"/>
      <c r="O257" s="18"/>
      <c r="P257" s="18"/>
      <c r="Q257" s="18"/>
      <c r="R257" s="18"/>
    </row>
    <row r="258" ht="30" customHeight="1" spans="1:18">
      <c r="A258" s="18" t="s">
        <v>1709</v>
      </c>
      <c r="B258" s="18" t="s">
        <v>1695</v>
      </c>
      <c r="C258" s="18" t="s">
        <v>1696</v>
      </c>
      <c r="D258" s="18" t="s">
        <v>1697</v>
      </c>
      <c r="E258" s="18" t="s">
        <v>1698</v>
      </c>
      <c r="F258" s="18"/>
      <c r="G258" s="18" t="s">
        <v>1699</v>
      </c>
      <c r="H258" s="18" t="s">
        <v>1700</v>
      </c>
      <c r="I258" s="18" t="s">
        <v>1701</v>
      </c>
      <c r="J258" s="18" t="s">
        <v>1702</v>
      </c>
      <c r="K258" s="18" t="s">
        <v>138</v>
      </c>
      <c r="L258" s="18"/>
      <c r="M258" s="18" t="s">
        <v>119</v>
      </c>
      <c r="N258" s="18"/>
      <c r="O258" s="18"/>
      <c r="P258" s="18"/>
      <c r="Q258" s="18"/>
      <c r="R258" s="18"/>
    </row>
    <row r="259" ht="30" customHeight="1" spans="1:18">
      <c r="A259" s="18" t="s">
        <v>1710</v>
      </c>
      <c r="B259" s="18" t="s">
        <v>1695</v>
      </c>
      <c r="C259" s="18" t="s">
        <v>1696</v>
      </c>
      <c r="D259" s="18" t="s">
        <v>1697</v>
      </c>
      <c r="E259" s="18" t="s">
        <v>1698</v>
      </c>
      <c r="F259" s="18"/>
      <c r="G259" s="18" t="s">
        <v>1699</v>
      </c>
      <c r="H259" s="18" t="s">
        <v>1700</v>
      </c>
      <c r="I259" s="18" t="s">
        <v>1701</v>
      </c>
      <c r="J259" s="18" t="s">
        <v>1702</v>
      </c>
      <c r="K259" s="18" t="s">
        <v>138</v>
      </c>
      <c r="L259" s="18"/>
      <c r="M259" s="18" t="s">
        <v>119</v>
      </c>
      <c r="N259" s="18"/>
      <c r="O259" s="18"/>
      <c r="P259" s="18"/>
      <c r="Q259" s="18"/>
      <c r="R259" s="18"/>
    </row>
    <row r="260" ht="30" customHeight="1" spans="1:18">
      <c r="A260" s="18" t="s">
        <v>1711</v>
      </c>
      <c r="B260" s="18" t="s">
        <v>1695</v>
      </c>
      <c r="C260" s="18" t="s">
        <v>1696</v>
      </c>
      <c r="D260" s="18" t="s">
        <v>1697</v>
      </c>
      <c r="E260" s="18" t="s">
        <v>1698</v>
      </c>
      <c r="F260" s="18"/>
      <c r="G260" s="18" t="s">
        <v>1699</v>
      </c>
      <c r="H260" s="18" t="s">
        <v>1700</v>
      </c>
      <c r="I260" s="18" t="s">
        <v>1701</v>
      </c>
      <c r="J260" s="18" t="s">
        <v>1702</v>
      </c>
      <c r="K260" s="18" t="s">
        <v>138</v>
      </c>
      <c r="L260" s="18"/>
      <c r="M260" s="18" t="s">
        <v>119</v>
      </c>
      <c r="N260" s="18"/>
      <c r="O260" s="18"/>
      <c r="P260" s="18"/>
      <c r="Q260" s="18"/>
      <c r="R260" s="18"/>
    </row>
    <row r="261" ht="30" customHeight="1" spans="1:18">
      <c r="A261" s="18" t="s">
        <v>1712</v>
      </c>
      <c r="B261" s="18" t="s">
        <v>1695</v>
      </c>
      <c r="C261" s="18" t="s">
        <v>1696</v>
      </c>
      <c r="D261" s="18" t="s">
        <v>1697</v>
      </c>
      <c r="E261" s="18" t="s">
        <v>1698</v>
      </c>
      <c r="F261" s="18"/>
      <c r="G261" s="18" t="s">
        <v>1699</v>
      </c>
      <c r="H261" s="18" t="s">
        <v>1700</v>
      </c>
      <c r="I261" s="18" t="s">
        <v>1701</v>
      </c>
      <c r="J261" s="18" t="s">
        <v>1702</v>
      </c>
      <c r="K261" s="18" t="s">
        <v>138</v>
      </c>
      <c r="L261" s="18"/>
      <c r="M261" s="18" t="s">
        <v>119</v>
      </c>
      <c r="N261" s="18"/>
      <c r="O261" s="18"/>
      <c r="P261" s="18"/>
      <c r="Q261" s="18"/>
      <c r="R261" s="18"/>
    </row>
    <row r="262" ht="30" customHeight="1" spans="1:18">
      <c r="A262" s="18" t="s">
        <v>1713</v>
      </c>
      <c r="B262" s="18" t="s">
        <v>1695</v>
      </c>
      <c r="C262" s="18" t="s">
        <v>1696</v>
      </c>
      <c r="D262" s="18" t="s">
        <v>1697</v>
      </c>
      <c r="E262" s="18" t="s">
        <v>1698</v>
      </c>
      <c r="F262" s="18"/>
      <c r="G262" s="18" t="s">
        <v>1699</v>
      </c>
      <c r="H262" s="18" t="s">
        <v>1700</v>
      </c>
      <c r="I262" s="18" t="s">
        <v>1701</v>
      </c>
      <c r="J262" s="18" t="s">
        <v>1702</v>
      </c>
      <c r="K262" s="18" t="s">
        <v>138</v>
      </c>
      <c r="L262" s="18"/>
      <c r="M262" s="18" t="s">
        <v>119</v>
      </c>
      <c r="N262" s="18"/>
      <c r="O262" s="18"/>
      <c r="P262" s="18"/>
      <c r="Q262" s="18"/>
      <c r="R262" s="18"/>
    </row>
    <row r="263" ht="30" customHeight="1" spans="1:18">
      <c r="A263" s="18" t="s">
        <v>1714</v>
      </c>
      <c r="B263" s="18" t="s">
        <v>1695</v>
      </c>
      <c r="C263" s="18" t="s">
        <v>1696</v>
      </c>
      <c r="D263" s="18" t="s">
        <v>1697</v>
      </c>
      <c r="E263" s="18" t="s">
        <v>1698</v>
      </c>
      <c r="F263" s="18"/>
      <c r="G263" s="18" t="s">
        <v>1699</v>
      </c>
      <c r="H263" s="18" t="s">
        <v>1700</v>
      </c>
      <c r="I263" s="18" t="s">
        <v>1701</v>
      </c>
      <c r="J263" s="18" t="s">
        <v>1702</v>
      </c>
      <c r="K263" s="18" t="s">
        <v>138</v>
      </c>
      <c r="L263" s="18"/>
      <c r="M263" s="18" t="s">
        <v>119</v>
      </c>
      <c r="N263" s="18"/>
      <c r="O263" s="18"/>
      <c r="P263" s="18"/>
      <c r="Q263" s="18"/>
      <c r="R263" s="18"/>
    </row>
    <row r="264" ht="30" customHeight="1" spans="1:18">
      <c r="A264" s="18" t="s">
        <v>1715</v>
      </c>
      <c r="B264" s="18" t="s">
        <v>1695</v>
      </c>
      <c r="C264" s="18" t="s">
        <v>1696</v>
      </c>
      <c r="D264" s="18" t="s">
        <v>1697</v>
      </c>
      <c r="E264" s="18" t="s">
        <v>1698</v>
      </c>
      <c r="F264" s="18"/>
      <c r="G264" s="18" t="s">
        <v>1699</v>
      </c>
      <c r="H264" s="18" t="s">
        <v>1700</v>
      </c>
      <c r="I264" s="18" t="s">
        <v>1701</v>
      </c>
      <c r="J264" s="18" t="s">
        <v>1702</v>
      </c>
      <c r="K264" s="18" t="s">
        <v>138</v>
      </c>
      <c r="L264" s="18"/>
      <c r="M264" s="18" t="s">
        <v>119</v>
      </c>
      <c r="N264" s="18"/>
      <c r="O264" s="18"/>
      <c r="P264" s="18"/>
      <c r="Q264" s="18"/>
      <c r="R264" s="18"/>
    </row>
    <row r="265" ht="30" customHeight="1" spans="1:18">
      <c r="A265" s="18" t="s">
        <v>1716</v>
      </c>
      <c r="B265" s="18" t="s">
        <v>1695</v>
      </c>
      <c r="C265" s="18" t="s">
        <v>1696</v>
      </c>
      <c r="D265" s="18" t="s">
        <v>1697</v>
      </c>
      <c r="E265" s="18" t="s">
        <v>1698</v>
      </c>
      <c r="F265" s="18"/>
      <c r="G265" s="18" t="s">
        <v>1699</v>
      </c>
      <c r="H265" s="18" t="s">
        <v>1700</v>
      </c>
      <c r="I265" s="18" t="s">
        <v>1701</v>
      </c>
      <c r="J265" s="18" t="s">
        <v>1702</v>
      </c>
      <c r="K265" s="18" t="s">
        <v>138</v>
      </c>
      <c r="L265" s="18"/>
      <c r="M265" s="18" t="s">
        <v>119</v>
      </c>
      <c r="N265" s="18"/>
      <c r="O265" s="18"/>
      <c r="P265" s="18"/>
      <c r="Q265" s="18"/>
      <c r="R265" s="18"/>
    </row>
    <row r="266" ht="30" customHeight="1" spans="1:18">
      <c r="A266" s="18" t="s">
        <v>1717</v>
      </c>
      <c r="B266" s="18" t="s">
        <v>1695</v>
      </c>
      <c r="C266" s="18" t="s">
        <v>1696</v>
      </c>
      <c r="D266" s="18" t="s">
        <v>1697</v>
      </c>
      <c r="E266" s="18" t="s">
        <v>1698</v>
      </c>
      <c r="F266" s="18"/>
      <c r="G266" s="18" t="s">
        <v>1699</v>
      </c>
      <c r="H266" s="18" t="s">
        <v>1700</v>
      </c>
      <c r="I266" s="18" t="s">
        <v>1701</v>
      </c>
      <c r="J266" s="18" t="s">
        <v>1702</v>
      </c>
      <c r="K266" s="18" t="s">
        <v>138</v>
      </c>
      <c r="L266" s="18"/>
      <c r="M266" s="18" t="s">
        <v>119</v>
      </c>
      <c r="N266" s="18"/>
      <c r="O266" s="18"/>
      <c r="P266" s="18"/>
      <c r="Q266" s="18"/>
      <c r="R266" s="18"/>
    </row>
    <row r="267" ht="30" customHeight="1" spans="1:18">
      <c r="A267" s="18" t="s">
        <v>1718</v>
      </c>
      <c r="B267" s="18" t="s">
        <v>1695</v>
      </c>
      <c r="C267" s="18" t="s">
        <v>1696</v>
      </c>
      <c r="D267" s="18" t="s">
        <v>1697</v>
      </c>
      <c r="E267" s="18" t="s">
        <v>1698</v>
      </c>
      <c r="F267" s="18"/>
      <c r="G267" s="18" t="s">
        <v>1699</v>
      </c>
      <c r="H267" s="18" t="s">
        <v>1700</v>
      </c>
      <c r="I267" s="18" t="s">
        <v>1701</v>
      </c>
      <c r="J267" s="18" t="s">
        <v>1702</v>
      </c>
      <c r="K267" s="18" t="s">
        <v>138</v>
      </c>
      <c r="L267" s="18"/>
      <c r="M267" s="18" t="s">
        <v>119</v>
      </c>
      <c r="N267" s="18"/>
      <c r="O267" s="18"/>
      <c r="P267" s="18"/>
      <c r="Q267" s="18"/>
      <c r="R267" s="18"/>
    </row>
    <row r="268" ht="30" customHeight="1" spans="1:18">
      <c r="A268" s="18" t="s">
        <v>1719</v>
      </c>
      <c r="B268" s="18" t="s">
        <v>1695</v>
      </c>
      <c r="C268" s="18" t="s">
        <v>1696</v>
      </c>
      <c r="D268" s="18" t="s">
        <v>1697</v>
      </c>
      <c r="E268" s="18" t="s">
        <v>1698</v>
      </c>
      <c r="F268" s="18"/>
      <c r="G268" s="18" t="s">
        <v>1699</v>
      </c>
      <c r="H268" s="18" t="s">
        <v>1700</v>
      </c>
      <c r="I268" s="18" t="s">
        <v>1701</v>
      </c>
      <c r="J268" s="18" t="s">
        <v>1702</v>
      </c>
      <c r="K268" s="18" t="s">
        <v>138</v>
      </c>
      <c r="L268" s="18"/>
      <c r="M268" s="18" t="s">
        <v>119</v>
      </c>
      <c r="N268" s="18"/>
      <c r="O268" s="18"/>
      <c r="P268" s="18"/>
      <c r="Q268" s="18"/>
      <c r="R268" s="18"/>
    </row>
    <row r="269" ht="30" customHeight="1" spans="1:18">
      <c r="A269" s="18" t="s">
        <v>1720</v>
      </c>
      <c r="B269" s="18" t="s">
        <v>1695</v>
      </c>
      <c r="C269" s="18" t="s">
        <v>1696</v>
      </c>
      <c r="D269" s="18" t="s">
        <v>1697</v>
      </c>
      <c r="E269" s="18" t="s">
        <v>1698</v>
      </c>
      <c r="F269" s="18"/>
      <c r="G269" s="18" t="s">
        <v>1699</v>
      </c>
      <c r="H269" s="18" t="s">
        <v>1700</v>
      </c>
      <c r="I269" s="18" t="s">
        <v>1701</v>
      </c>
      <c r="J269" s="18" t="s">
        <v>1702</v>
      </c>
      <c r="K269" s="18" t="s">
        <v>138</v>
      </c>
      <c r="L269" s="18"/>
      <c r="M269" s="18" t="s">
        <v>119</v>
      </c>
      <c r="N269" s="18"/>
      <c r="O269" s="18"/>
      <c r="P269" s="18"/>
      <c r="Q269" s="18"/>
      <c r="R269" s="18"/>
    </row>
    <row r="270" ht="30" customHeight="1" spans="1:18">
      <c r="A270" s="18" t="s">
        <v>1721</v>
      </c>
      <c r="B270" s="18" t="s">
        <v>1695</v>
      </c>
      <c r="C270" s="18" t="s">
        <v>1696</v>
      </c>
      <c r="D270" s="18" t="s">
        <v>1697</v>
      </c>
      <c r="E270" s="18" t="s">
        <v>1698</v>
      </c>
      <c r="F270" s="18"/>
      <c r="G270" s="18" t="s">
        <v>1699</v>
      </c>
      <c r="H270" s="18" t="s">
        <v>1700</v>
      </c>
      <c r="I270" s="18" t="s">
        <v>1701</v>
      </c>
      <c r="J270" s="18" t="s">
        <v>1702</v>
      </c>
      <c r="K270" s="18" t="s">
        <v>138</v>
      </c>
      <c r="L270" s="18"/>
      <c r="M270" s="18" t="s">
        <v>119</v>
      </c>
      <c r="N270" s="18"/>
      <c r="O270" s="18"/>
      <c r="P270" s="18"/>
      <c r="Q270" s="18"/>
      <c r="R270" s="18"/>
    </row>
    <row r="271" ht="30" customHeight="1" spans="1:18">
      <c r="A271" s="18" t="s">
        <v>1722</v>
      </c>
      <c r="B271" s="18" t="s">
        <v>1695</v>
      </c>
      <c r="C271" s="18" t="s">
        <v>1723</v>
      </c>
      <c r="D271" s="18" t="s">
        <v>1724</v>
      </c>
      <c r="E271" s="18" t="s">
        <v>1725</v>
      </c>
      <c r="F271" s="18"/>
      <c r="G271" s="18" t="s">
        <v>1726</v>
      </c>
      <c r="H271" s="18" t="s">
        <v>1727</v>
      </c>
      <c r="I271" s="18" t="s">
        <v>1728</v>
      </c>
      <c r="J271" s="18" t="s">
        <v>1729</v>
      </c>
      <c r="K271" s="18" t="s">
        <v>1446</v>
      </c>
      <c r="L271" s="18"/>
      <c r="M271" s="18" t="s">
        <v>119</v>
      </c>
      <c r="N271" s="18"/>
      <c r="O271" s="18"/>
      <c r="P271" s="18"/>
      <c r="Q271" s="18"/>
      <c r="R271" s="18"/>
    </row>
    <row r="272" ht="30" customHeight="1" spans="1:18">
      <c r="A272" s="18" t="s">
        <v>1730</v>
      </c>
      <c r="B272" s="18" t="s">
        <v>1695</v>
      </c>
      <c r="C272" s="18" t="s">
        <v>1723</v>
      </c>
      <c r="D272" s="18" t="s">
        <v>1731</v>
      </c>
      <c r="E272" s="18" t="s">
        <v>1725</v>
      </c>
      <c r="F272" s="18"/>
      <c r="G272" s="18" t="s">
        <v>1726</v>
      </c>
      <c r="H272" s="18" t="s">
        <v>1727</v>
      </c>
      <c r="I272" s="18" t="s">
        <v>1728</v>
      </c>
      <c r="J272" s="18" t="s">
        <v>1729</v>
      </c>
      <c r="K272" s="18" t="s">
        <v>1446</v>
      </c>
      <c r="L272" s="18"/>
      <c r="M272" s="18" t="s">
        <v>119</v>
      </c>
      <c r="N272" s="18"/>
      <c r="O272" s="18"/>
      <c r="P272" s="18"/>
      <c r="Q272" s="18"/>
      <c r="R272" s="18"/>
    </row>
    <row r="273" ht="30" customHeight="1" spans="1:18">
      <c r="A273" s="18" t="s">
        <v>1732</v>
      </c>
      <c r="B273" s="18" t="s">
        <v>1695</v>
      </c>
      <c r="C273" s="18" t="s">
        <v>1723</v>
      </c>
      <c r="D273" s="18" t="s">
        <v>1733</v>
      </c>
      <c r="E273" s="18" t="s">
        <v>1725</v>
      </c>
      <c r="F273" s="18"/>
      <c r="G273" s="18" t="s">
        <v>1726</v>
      </c>
      <c r="H273" s="18" t="s">
        <v>1727</v>
      </c>
      <c r="I273" s="18" t="s">
        <v>1728</v>
      </c>
      <c r="J273" s="18" t="s">
        <v>1729</v>
      </c>
      <c r="K273" s="18" t="s">
        <v>1446</v>
      </c>
      <c r="L273" s="18"/>
      <c r="M273" s="18" t="s">
        <v>119</v>
      </c>
      <c r="N273" s="18"/>
      <c r="O273" s="18"/>
      <c r="P273" s="18"/>
      <c r="Q273" s="18"/>
      <c r="R273" s="18"/>
    </row>
    <row r="274" ht="30" customHeight="1" spans="1:18">
      <c r="A274" s="18" t="s">
        <v>1734</v>
      </c>
      <c r="B274" s="18" t="s">
        <v>1695</v>
      </c>
      <c r="C274" s="18" t="s">
        <v>1723</v>
      </c>
      <c r="D274" s="18" t="s">
        <v>1735</v>
      </c>
      <c r="E274" s="18" t="s">
        <v>1725</v>
      </c>
      <c r="F274" s="18"/>
      <c r="G274" s="18" t="s">
        <v>1726</v>
      </c>
      <c r="H274" s="18" t="s">
        <v>1727</v>
      </c>
      <c r="I274" s="18" t="s">
        <v>1728</v>
      </c>
      <c r="J274" s="18" t="s">
        <v>1729</v>
      </c>
      <c r="K274" s="18" t="s">
        <v>1446</v>
      </c>
      <c r="L274" s="18"/>
      <c r="M274" s="18" t="s">
        <v>119</v>
      </c>
      <c r="N274" s="18"/>
      <c r="O274" s="18"/>
      <c r="P274" s="18"/>
      <c r="Q274" s="18"/>
      <c r="R274" s="18"/>
    </row>
    <row r="275" ht="30" customHeight="1" spans="1:18">
      <c r="A275" s="18" t="s">
        <v>1736</v>
      </c>
      <c r="B275" s="18" t="s">
        <v>1695</v>
      </c>
      <c r="C275" s="18" t="s">
        <v>1723</v>
      </c>
      <c r="D275" s="18" t="s">
        <v>1737</v>
      </c>
      <c r="E275" s="18" t="s">
        <v>1725</v>
      </c>
      <c r="F275" s="18"/>
      <c r="G275" s="18" t="s">
        <v>1726</v>
      </c>
      <c r="H275" s="18" t="s">
        <v>1727</v>
      </c>
      <c r="I275" s="18" t="s">
        <v>1728</v>
      </c>
      <c r="J275" s="18" t="s">
        <v>1729</v>
      </c>
      <c r="K275" s="18" t="s">
        <v>1446</v>
      </c>
      <c r="L275" s="18"/>
      <c r="M275" s="18" t="s">
        <v>119</v>
      </c>
      <c r="N275" s="18"/>
      <c r="O275" s="18"/>
      <c r="P275" s="18"/>
      <c r="Q275" s="18"/>
      <c r="R275" s="18"/>
    </row>
    <row r="276" ht="30" customHeight="1" spans="1:18">
      <c r="A276" s="18" t="s">
        <v>1738</v>
      </c>
      <c r="B276" s="18" t="s">
        <v>1695</v>
      </c>
      <c r="C276" s="18" t="s">
        <v>1723</v>
      </c>
      <c r="D276" s="18" t="s">
        <v>1739</v>
      </c>
      <c r="E276" s="18" t="s">
        <v>1725</v>
      </c>
      <c r="F276" s="18"/>
      <c r="G276" s="18" t="s">
        <v>1726</v>
      </c>
      <c r="H276" s="18" t="s">
        <v>1727</v>
      </c>
      <c r="I276" s="18" t="s">
        <v>1728</v>
      </c>
      <c r="J276" s="18" t="s">
        <v>1729</v>
      </c>
      <c r="K276" s="18" t="s">
        <v>1446</v>
      </c>
      <c r="L276" s="18"/>
      <c r="M276" s="18" t="s">
        <v>119</v>
      </c>
      <c r="N276" s="18"/>
      <c r="O276" s="18"/>
      <c r="P276" s="18"/>
      <c r="Q276" s="18"/>
      <c r="R276" s="18"/>
    </row>
    <row r="277" ht="30" customHeight="1" spans="1:18">
      <c r="A277" s="18" t="s">
        <v>1740</v>
      </c>
      <c r="B277" s="18" t="s">
        <v>1695</v>
      </c>
      <c r="C277" s="18" t="s">
        <v>1723</v>
      </c>
      <c r="D277" s="18" t="s">
        <v>1741</v>
      </c>
      <c r="E277" s="18" t="s">
        <v>1725</v>
      </c>
      <c r="F277" s="18"/>
      <c r="G277" s="18" t="s">
        <v>1726</v>
      </c>
      <c r="H277" s="18" t="s">
        <v>1727</v>
      </c>
      <c r="I277" s="18" t="s">
        <v>1728</v>
      </c>
      <c r="J277" s="18" t="s">
        <v>1729</v>
      </c>
      <c r="K277" s="18" t="s">
        <v>1446</v>
      </c>
      <c r="L277" s="18"/>
      <c r="M277" s="18" t="s">
        <v>119</v>
      </c>
      <c r="N277" s="18"/>
      <c r="O277" s="18"/>
      <c r="P277" s="18"/>
      <c r="Q277" s="18"/>
      <c r="R277" s="18"/>
    </row>
    <row r="278" ht="30" customHeight="1" spans="1:18">
      <c r="A278" s="18" t="s">
        <v>1742</v>
      </c>
      <c r="B278" s="18" t="s">
        <v>1695</v>
      </c>
      <c r="C278" s="18" t="s">
        <v>1723</v>
      </c>
      <c r="D278" s="18" t="s">
        <v>1743</v>
      </c>
      <c r="E278" s="18" t="s">
        <v>1725</v>
      </c>
      <c r="F278" s="18"/>
      <c r="G278" s="18" t="s">
        <v>1726</v>
      </c>
      <c r="H278" s="18" t="s">
        <v>1727</v>
      </c>
      <c r="I278" s="18" t="s">
        <v>1728</v>
      </c>
      <c r="J278" s="18" t="s">
        <v>1729</v>
      </c>
      <c r="K278" s="18" t="s">
        <v>1446</v>
      </c>
      <c r="L278" s="18"/>
      <c r="M278" s="18" t="s">
        <v>119</v>
      </c>
      <c r="N278" s="18"/>
      <c r="O278" s="18"/>
      <c r="P278" s="18"/>
      <c r="Q278" s="18"/>
      <c r="R278" s="18"/>
    </row>
    <row r="279" ht="30" customHeight="1" spans="1:18">
      <c r="A279" s="18" t="s">
        <v>1744</v>
      </c>
      <c r="B279" s="18" t="s">
        <v>1695</v>
      </c>
      <c r="C279" s="18" t="s">
        <v>1723</v>
      </c>
      <c r="D279" s="18" t="s">
        <v>1745</v>
      </c>
      <c r="E279" s="18" t="s">
        <v>1725</v>
      </c>
      <c r="F279" s="18"/>
      <c r="G279" s="18" t="s">
        <v>1726</v>
      </c>
      <c r="H279" s="18" t="s">
        <v>1727</v>
      </c>
      <c r="I279" s="18" t="s">
        <v>1728</v>
      </c>
      <c r="J279" s="18" t="s">
        <v>1729</v>
      </c>
      <c r="K279" s="18" t="s">
        <v>1446</v>
      </c>
      <c r="L279" s="18"/>
      <c r="M279" s="18" t="s">
        <v>119</v>
      </c>
      <c r="N279" s="18"/>
      <c r="O279" s="18"/>
      <c r="P279" s="18"/>
      <c r="Q279" s="18"/>
      <c r="R279" s="18"/>
    </row>
    <row r="280" ht="30" customHeight="1" spans="1:18">
      <c r="A280" s="18" t="s">
        <v>1746</v>
      </c>
      <c r="B280" s="18" t="s">
        <v>1695</v>
      </c>
      <c r="C280" s="18" t="s">
        <v>1723</v>
      </c>
      <c r="D280" s="18" t="s">
        <v>1747</v>
      </c>
      <c r="E280" s="18" t="s">
        <v>1725</v>
      </c>
      <c r="F280" s="18"/>
      <c r="G280" s="18" t="s">
        <v>1726</v>
      </c>
      <c r="H280" s="18" t="s">
        <v>1727</v>
      </c>
      <c r="I280" s="18" t="s">
        <v>1728</v>
      </c>
      <c r="J280" s="18" t="s">
        <v>1729</v>
      </c>
      <c r="K280" s="18" t="s">
        <v>1446</v>
      </c>
      <c r="L280" s="18"/>
      <c r="M280" s="18" t="s">
        <v>119</v>
      </c>
      <c r="N280" s="18"/>
      <c r="O280" s="18"/>
      <c r="P280" s="18"/>
      <c r="Q280" s="18"/>
      <c r="R280" s="18"/>
    </row>
    <row r="281" ht="30" customHeight="1" spans="1:18">
      <c r="A281" s="18" t="s">
        <v>1748</v>
      </c>
      <c r="B281" s="18" t="s">
        <v>1695</v>
      </c>
      <c r="C281" s="18" t="s">
        <v>1723</v>
      </c>
      <c r="D281" s="18" t="s">
        <v>1749</v>
      </c>
      <c r="E281" s="18" t="s">
        <v>1725</v>
      </c>
      <c r="F281" s="18"/>
      <c r="G281" s="18" t="s">
        <v>1726</v>
      </c>
      <c r="H281" s="18" t="s">
        <v>1727</v>
      </c>
      <c r="I281" s="18" t="s">
        <v>1728</v>
      </c>
      <c r="J281" s="18" t="s">
        <v>1729</v>
      </c>
      <c r="K281" s="18" t="s">
        <v>1446</v>
      </c>
      <c r="L281" s="18"/>
      <c r="M281" s="18" t="s">
        <v>119</v>
      </c>
      <c r="N281" s="18"/>
      <c r="O281" s="18"/>
      <c r="P281" s="18"/>
      <c r="Q281" s="18"/>
      <c r="R281" s="18"/>
    </row>
    <row r="282" ht="30" customHeight="1" spans="1:18">
      <c r="A282" s="18" t="s">
        <v>1750</v>
      </c>
      <c r="B282" s="18" t="s">
        <v>1695</v>
      </c>
      <c r="C282" s="18" t="s">
        <v>1723</v>
      </c>
      <c r="D282" s="18" t="s">
        <v>1751</v>
      </c>
      <c r="E282" s="18" t="s">
        <v>1725</v>
      </c>
      <c r="F282" s="18"/>
      <c r="G282" s="18" t="s">
        <v>1726</v>
      </c>
      <c r="H282" s="18" t="s">
        <v>1727</v>
      </c>
      <c r="I282" s="18" t="s">
        <v>1728</v>
      </c>
      <c r="J282" s="18" t="s">
        <v>1729</v>
      </c>
      <c r="K282" s="18" t="s">
        <v>1446</v>
      </c>
      <c r="L282" s="18"/>
      <c r="M282" s="18" t="s">
        <v>119</v>
      </c>
      <c r="N282" s="18"/>
      <c r="O282" s="18"/>
      <c r="P282" s="18"/>
      <c r="Q282" s="18"/>
      <c r="R282" s="18"/>
    </row>
  </sheetData>
  <autoFilter xmlns:etc="http://www.wps.cn/officeDocument/2017/etCustomData" ref="A1:R282" etc:filterBottomFollowUsedRange="0">
    <extLst/>
  </autoFilter>
  <conditionalFormatting sqref="F2:F282">
    <cfRule type="cellIs" dxfId="0" priority="14" operator="equal">
      <formula>"N/A"</formula>
    </cfRule>
  </conditionalFormatting>
  <conditionalFormatting sqref="K2:K282">
    <cfRule type="cellIs" dxfId="1" priority="13" operator="equal">
      <formula>"P0"</formula>
    </cfRule>
  </conditionalFormatting>
  <conditionalFormatting sqref="M2:M282">
    <cfRule type="cellIs" dxfId="0" priority="2" operator="equal">
      <formula>"N/A"</formula>
    </cfRule>
    <cfRule type="cellIs" dxfId="2" priority="3" operator="equal">
      <formula>"Valide par Imane"</formula>
    </cfRule>
    <cfRule type="cellIs" dxfId="2" priority="4" operator="equal">
      <formula>"Valide definitivement"</formula>
    </cfRule>
    <cfRule type="cellIs" dxfId="3" priority="5" operator="equal">
      <formula>"En attente"</formula>
    </cfRule>
    <cfRule type="cellIs" dxfId="3" priority="6" operator="equal">
      <formula>"Demande"</formula>
    </cfRule>
    <cfRule type="cellIs" dxfId="3" priority="7" operator="equal">
      <formula>"A demander"</formula>
    </cfRule>
    <cfRule type="cellIs" dxfId="3" priority="8" operator="equal">
      <formula>"Recu a controler"</formula>
    </cfRule>
    <cfRule type="cellIs" dxfId="3" priority="9" operator="equal">
      <formula>"Correction demandee"</formula>
    </cfRule>
    <cfRule type="cellIs" dxfId="4" priority="10" operator="equal">
      <formula>"Bloque"</formula>
    </cfRule>
    <cfRule type="cellIs" dxfId="4" priority="11" operator="equal">
      <formula>"Non conforme"</formula>
    </cfRule>
    <cfRule type="cellIs" dxfId="5" priority="12" operator="equal">
      <formula>"Validation Oumaima requise"</formula>
    </cfRule>
  </conditionalFormatting>
  <dataValidations count="5">
    <dataValidation type="list" allowBlank="1" sqref="F2:F282">
      <formula1>"Applicable,N/A"</formula1>
    </dataValidation>
    <dataValidation type="list" allowBlank="1" sqref="K2:K282">
      <formula1>"P0,P1,P2,P3,P4,P5,P6,P7,P8"</formula1>
    </dataValidation>
    <dataValidation type="list" allowBlank="1" sqref="M2:M282">
      <formula1>"Non commence,Applicable,N/A,A demander,Demande,En attente,Recu a controler,Non conforme,Correction demandee,Bloque,Valide par Imane,Validation Oumaima requise,Valide definitivement"</formula1>
    </dataValidation>
    <dataValidation type="list" allowBlank="1" sqref="Q2:Q282">
      <formula1>"GO,GO SOUS CONDITIONS,STOP,NON VALIDE,Non applicable"</formula1>
    </dataValidation>
    <dataValidation type="list" allowBlank="1" sqref="R2:R282">
      <formula1>"Oui,Non"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workbookViewId="0">
      <pane ySplit="3" topLeftCell="A4" activePane="bottomLeft" state="frozen"/>
      <selection/>
      <selection pane="bottomLeft" activeCell="A1" sqref="A1:G1"/>
    </sheetView>
  </sheetViews>
  <sheetFormatPr defaultColWidth="8.67619047619048" defaultRowHeight="15" outlineLevelCol="6"/>
  <cols>
    <col min="1" max="1" width="30" customWidth="1"/>
    <col min="2" max="2" width="40" customWidth="1"/>
    <col min="3" max="3" width="26" customWidth="1"/>
    <col min="4" max="4" width="30" customWidth="1"/>
    <col min="5" max="6" width="20" customWidth="1"/>
    <col min="7" max="7" width="30" customWidth="1"/>
  </cols>
  <sheetData>
    <row r="1" ht="30" customHeight="1" spans="1:7">
      <c r="A1" s="4" t="s">
        <v>1752</v>
      </c>
      <c r="B1" s="4"/>
      <c r="C1" s="4"/>
      <c r="D1" s="4"/>
      <c r="E1" s="4"/>
      <c r="F1" s="4"/>
      <c r="G1" s="4"/>
    </row>
    <row r="3" ht="31.5" customHeight="1" spans="1:7">
      <c r="A3" s="16" t="s">
        <v>1753</v>
      </c>
      <c r="B3" s="16" t="s">
        <v>1754</v>
      </c>
      <c r="C3" s="16" t="s">
        <v>1755</v>
      </c>
      <c r="D3" s="16" t="s">
        <v>1756</v>
      </c>
      <c r="E3" s="16" t="s">
        <v>1757</v>
      </c>
      <c r="F3" s="16" t="s">
        <v>1758</v>
      </c>
      <c r="G3" s="16" t="s">
        <v>1759</v>
      </c>
    </row>
    <row r="4" ht="45" customHeight="1" spans="1:7">
      <c r="A4" s="14" t="s">
        <v>1760</v>
      </c>
      <c r="B4" s="18" t="s">
        <v>1761</v>
      </c>
      <c r="C4" s="18"/>
      <c r="D4" s="18"/>
      <c r="E4" s="21"/>
      <c r="F4" s="18"/>
      <c r="G4" s="18"/>
    </row>
    <row r="5" ht="45" customHeight="1" spans="1:7">
      <c r="A5" s="14" t="s">
        <v>1762</v>
      </c>
      <c r="B5" s="18" t="s">
        <v>1763</v>
      </c>
      <c r="C5" s="18"/>
      <c r="D5" s="18"/>
      <c r="E5" s="21"/>
      <c r="F5" s="18"/>
      <c r="G5" s="18"/>
    </row>
    <row r="6" ht="45" customHeight="1" spans="1:7">
      <c r="A6" s="14" t="s">
        <v>1764</v>
      </c>
      <c r="B6" s="18" t="s">
        <v>1765</v>
      </c>
      <c r="C6" s="18"/>
      <c r="D6" s="18"/>
      <c r="E6" s="21"/>
      <c r="F6" s="18"/>
      <c r="G6" s="18"/>
    </row>
    <row r="7" ht="45" customHeight="1" spans="1:7">
      <c r="A7" s="14" t="s">
        <v>1766</v>
      </c>
      <c r="B7" s="18" t="s">
        <v>1767</v>
      </c>
      <c r="C7" s="18"/>
      <c r="D7" s="18"/>
      <c r="E7" s="21"/>
      <c r="F7" s="18"/>
      <c r="G7" s="18"/>
    </row>
    <row r="8" ht="45" customHeight="1" spans="1:7">
      <c r="A8" s="14" t="s">
        <v>1768</v>
      </c>
      <c r="B8" s="18" t="s">
        <v>1769</v>
      </c>
      <c r="C8" s="18"/>
      <c r="D8" s="18"/>
      <c r="E8" s="21"/>
      <c r="F8" s="18"/>
      <c r="G8" s="18"/>
    </row>
    <row r="9" ht="45" customHeight="1" spans="1:7">
      <c r="A9" s="14" t="s">
        <v>1770</v>
      </c>
      <c r="B9" s="18" t="s">
        <v>1771</v>
      </c>
      <c r="C9" s="18"/>
      <c r="D9" s="18"/>
      <c r="E9" s="21"/>
      <c r="F9" s="18"/>
      <c r="G9" s="18"/>
    </row>
    <row r="10" ht="45" customHeight="1" spans="1:7">
      <c r="A10" s="14" t="s">
        <v>1772</v>
      </c>
      <c r="B10" s="18" t="s">
        <v>1773</v>
      </c>
      <c r="C10" s="18"/>
      <c r="D10" s="18"/>
      <c r="E10" s="21"/>
      <c r="F10" s="18"/>
      <c r="G10" s="18"/>
    </row>
    <row r="11" ht="45" customHeight="1" spans="1:7">
      <c r="A11" s="14" t="s">
        <v>1774</v>
      </c>
      <c r="B11" s="18" t="s">
        <v>1775</v>
      </c>
      <c r="C11" s="18"/>
      <c r="D11" s="18"/>
      <c r="E11" s="21"/>
      <c r="F11" s="18"/>
      <c r="G11" s="18"/>
    </row>
    <row r="12" ht="45" customHeight="1" spans="1:7">
      <c r="A12" s="14" t="s">
        <v>1776</v>
      </c>
      <c r="B12" s="18" t="s">
        <v>1777</v>
      </c>
      <c r="C12" s="18"/>
      <c r="D12" s="18"/>
      <c r="E12" s="21"/>
      <c r="F12" s="18"/>
      <c r="G12" s="18"/>
    </row>
  </sheetData>
  <mergeCells count="1">
    <mergeCell ref="A1:G1"/>
  </mergeCells>
  <conditionalFormatting sqref="E4:E12">
    <cfRule type="cellIs" dxfId="2" priority="2" operator="equal">
      <formula>"GO"</formula>
    </cfRule>
    <cfRule type="cellIs" dxfId="3" priority="3" operator="equal">
      <formula>"GO SOUS CONDITIONS"</formula>
    </cfRule>
    <cfRule type="cellIs" dxfId="4" priority="4" operator="equal">
      <formula>"STOP"</formula>
    </cfRule>
  </conditionalFormatting>
  <dataValidations count="1">
    <dataValidation type="list" allowBlank="1" sqref="E4:E12">
      <formula1>"GO,GO SOUS CONDITIONS,STOP"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showGridLines="0" workbookViewId="0">
      <pane ySplit="3" topLeftCell="A4" activePane="bottomLeft" state="frozen"/>
      <selection/>
      <selection pane="bottomLeft" activeCell="A1" sqref="A1:C1"/>
    </sheetView>
  </sheetViews>
  <sheetFormatPr defaultColWidth="8.67619047619048" defaultRowHeight="15" outlineLevelCol="2"/>
  <cols>
    <col min="1" max="1" width="46" customWidth="1"/>
    <col min="2" max="2" width="22" customWidth="1"/>
    <col min="3" max="3" width="60" customWidth="1"/>
  </cols>
  <sheetData>
    <row r="1" ht="30" customHeight="1" spans="1:3">
      <c r="A1" s="4" t="s">
        <v>1778</v>
      </c>
      <c r="B1" s="4"/>
      <c r="C1" s="4"/>
    </row>
    <row r="3" ht="31.5" customHeight="1" spans="1:3">
      <c r="A3" s="16" t="s">
        <v>1779</v>
      </c>
      <c r="B3" s="16" t="s">
        <v>53</v>
      </c>
      <c r="C3" s="16" t="s">
        <v>1780</v>
      </c>
    </row>
    <row r="4" ht="31.5" customHeight="1" spans="1:3">
      <c r="A4" s="14" t="s">
        <v>1781</v>
      </c>
      <c r="B4" s="17">
        <f>COUNTA('3_Checklist_Maitre'!$A$2:$A$282)</f>
        <v>281</v>
      </c>
      <c r="C4" s="18" t="s">
        <v>1782</v>
      </c>
    </row>
    <row r="5" ht="31.5" customHeight="1" spans="1:3">
      <c r="A5" s="14" t="s">
        <v>1783</v>
      </c>
      <c r="B5" s="17">
        <f>COUNTIF('3_Checklist_Maitre'!$F$2:$F$282,"Applicable")</f>
        <v>0</v>
      </c>
      <c r="C5" s="18" t="s">
        <v>1784</v>
      </c>
    </row>
    <row r="6" ht="31.5" customHeight="1" spans="1:3">
      <c r="A6" s="14" t="s">
        <v>1785</v>
      </c>
      <c r="B6" s="17">
        <f>COUNTIF('3_Checklist_Maitre'!$F$2:$F$282,"N/A")</f>
        <v>0</v>
      </c>
      <c r="C6" s="18" t="s">
        <v>1786</v>
      </c>
    </row>
    <row r="7" ht="31.5" customHeight="1" spans="1:3">
      <c r="A7" s="14" t="s">
        <v>1787</v>
      </c>
      <c r="B7" s="17">
        <f>COUNTIF('3_Checklist_Maitre'!$M$2:$M$282,"Valide par Imane")+COUNTIF('3_Checklist_Maitre'!$M$2:$M$282,"Valide definitivement")</f>
        <v>0</v>
      </c>
      <c r="C7" s="18" t="s">
        <v>1788</v>
      </c>
    </row>
    <row r="8" ht="31.5" customHeight="1" spans="1:3">
      <c r="A8" s="14" t="s">
        <v>1789</v>
      </c>
      <c r="B8" s="17">
        <f>COUNTIF('3_Checklist_Maitre'!$M$2:$M$282,"En attente")+COUNTIF('3_Checklist_Maitre'!$M$2:$M$282,"Demande")+COUNTIF('3_Checklist_Maitre'!$M$2:$M$282,"A demander")+COUNTIF('3_Checklist_Maitre'!$M$2:$M$282,"Recu a controler")</f>
        <v>0</v>
      </c>
      <c r="C8" s="18" t="s">
        <v>1790</v>
      </c>
    </row>
    <row r="9" ht="31.5" customHeight="1" spans="1:3">
      <c r="A9" s="14" t="s">
        <v>1791</v>
      </c>
      <c r="B9" s="17">
        <f>COUNTIF('3_Checklist_Maitre'!$M$2:$M$282,"Non conforme")+COUNTIF('3_Checklist_Maitre'!$M$2:$M$282,"Correction demandee")</f>
        <v>0</v>
      </c>
      <c r="C9" s="18" t="s">
        <v>1792</v>
      </c>
    </row>
    <row r="10" ht="31.5" customHeight="1" spans="1:3">
      <c r="A10" s="14" t="s">
        <v>1793</v>
      </c>
      <c r="B10" s="17">
        <f>COUNTIF('3_Checklist_Maitre'!$M$2:$M$282,"Bloque")</f>
        <v>0</v>
      </c>
      <c r="C10" s="18" t="s">
        <v>1794</v>
      </c>
    </row>
    <row r="11" ht="31.5" customHeight="1" spans="1:3">
      <c r="A11" s="14" t="s">
        <v>1795</v>
      </c>
      <c r="B11" s="17">
        <f>COUNTIFS('3_Checklist_Maitre'!$K$2:$K$282,"P0",'3_Checklist_Maitre'!$M$2:$M$282,"&lt;&gt;Valide par Imane",'3_Checklist_Maitre'!$M$2:$M$282,"&lt;&gt;Valide definitivement",'3_Checklist_Maitre'!$M$2:$M$282,"&lt;&gt;N/A")</f>
        <v>15</v>
      </c>
      <c r="C11" s="18" t="s">
        <v>1796</v>
      </c>
    </row>
    <row r="12" ht="31.5" customHeight="1" spans="1:3">
      <c r="A12" s="14" t="s">
        <v>1797</v>
      </c>
      <c r="B12" s="17">
        <f>COUNTIFS('3_Checklist_Maitre'!$K$2:$K$282,"P1",'3_Checklist_Maitre'!$M$2:$M$282,"&lt;&gt;Valide par Imane",'3_Checklist_Maitre'!$M$2:$M$282,"&lt;&gt;Valide definitivement",'3_Checklist_Maitre'!$M$2:$M$282,"&lt;&gt;N/A")</f>
        <v>50</v>
      </c>
      <c r="C12" s="18" t="s">
        <v>1798</v>
      </c>
    </row>
    <row r="13" ht="31.5" customHeight="1" spans="1:3">
      <c r="A13" s="14" t="s">
        <v>1799</v>
      </c>
      <c r="B13" s="17">
        <f>COUNTIF('3_Checklist_Maitre'!$M$2:$M$282,"Validation Oumaima requise")</f>
        <v>0</v>
      </c>
      <c r="C13" s="18" t="s">
        <v>1800</v>
      </c>
    </row>
    <row r="14" ht="31.5" customHeight="1" spans="1:3">
      <c r="A14" s="14" t="s">
        <v>1801</v>
      </c>
      <c r="B14" s="19">
        <f>IFERROR(B7/B5,0)</f>
        <v>0</v>
      </c>
      <c r="C14" s="18" t="s">
        <v>1802</v>
      </c>
    </row>
    <row r="15" ht="31.5" customHeight="1" spans="1:3">
      <c r="A15" s="14" t="s">
        <v>1803</v>
      </c>
      <c r="B15" s="20" t="s">
        <v>1804</v>
      </c>
      <c r="C15" s="18" t="s">
        <v>1805</v>
      </c>
    </row>
  </sheetData>
  <mergeCells count="1">
    <mergeCell ref="A1:C1"/>
  </mergeCells>
  <dataValidations count="1">
    <dataValidation type="list" allowBlank="1" sqref="B15">
      <formula1>"GO,GO SOUS CONDITIONS,STOP"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showGridLines="0" workbookViewId="0">
      <pane ySplit="3" topLeftCell="A4" activePane="bottomLeft" state="frozen"/>
      <selection/>
      <selection pane="bottomLeft" activeCell="A1" sqref="A1:B1"/>
    </sheetView>
  </sheetViews>
  <sheetFormatPr defaultColWidth="8.67619047619048" defaultRowHeight="15" outlineLevelCol="1"/>
  <cols>
    <col min="1" max="1" width="36" customWidth="1"/>
    <col min="2" max="2" width="70" customWidth="1"/>
  </cols>
  <sheetData>
    <row r="1" ht="30" customHeight="1" spans="1:2">
      <c r="A1" s="4" t="s">
        <v>1806</v>
      </c>
      <c r="B1" s="4"/>
    </row>
    <row r="3" spans="1:2">
      <c r="A3" s="13" t="s">
        <v>46</v>
      </c>
      <c r="B3" s="13" t="s">
        <v>1807</v>
      </c>
    </row>
    <row r="4" ht="30" customHeight="1" spans="1:2">
      <c r="A4" s="14" t="s">
        <v>48</v>
      </c>
      <c r="B4" s="15"/>
    </row>
    <row r="5" ht="30" customHeight="1" spans="1:2">
      <c r="A5" s="14" t="s">
        <v>1808</v>
      </c>
      <c r="B5" s="15"/>
    </row>
    <row r="6" ht="30" customHeight="1" spans="1:2">
      <c r="A6" s="14" t="s">
        <v>1809</v>
      </c>
      <c r="B6" s="15"/>
    </row>
    <row r="7" ht="30" customHeight="1" spans="1:2">
      <c r="A7" s="14" t="s">
        <v>1810</v>
      </c>
      <c r="B7" s="15"/>
    </row>
    <row r="8" ht="30" customHeight="1" spans="1:2">
      <c r="A8" s="14" t="s">
        <v>1811</v>
      </c>
      <c r="B8" s="15"/>
    </row>
    <row r="9" ht="30" customHeight="1" spans="1:2">
      <c r="A9" s="14" t="s">
        <v>1791</v>
      </c>
      <c r="B9" s="15"/>
    </row>
    <row r="10" ht="30" customHeight="1" spans="1:2">
      <c r="A10" s="14" t="s">
        <v>1793</v>
      </c>
      <c r="B10" s="15"/>
    </row>
    <row r="11" ht="30" customHeight="1" spans="1:2">
      <c r="A11" s="14" t="s">
        <v>1812</v>
      </c>
      <c r="B11" s="15"/>
    </row>
    <row r="12" ht="30" customHeight="1" spans="1:2">
      <c r="A12" s="14" t="s">
        <v>1756</v>
      </c>
      <c r="B12" s="15"/>
    </row>
    <row r="13" ht="30" customHeight="1" spans="1:2">
      <c r="A13" s="14" t="s">
        <v>1813</v>
      </c>
      <c r="B13" s="15"/>
    </row>
    <row r="14" ht="30" customHeight="1" spans="1:2">
      <c r="A14" s="14" t="s">
        <v>1814</v>
      </c>
      <c r="B14" s="15"/>
    </row>
    <row r="15" ht="30" customHeight="1" spans="1:2">
      <c r="A15" s="14" t="s">
        <v>1815</v>
      </c>
      <c r="B15" s="15"/>
    </row>
    <row r="16" ht="30" customHeight="1" spans="1:2">
      <c r="A16" s="14" t="s">
        <v>1816</v>
      </c>
      <c r="B16" s="15"/>
    </row>
    <row r="17" ht="30" customHeight="1" spans="1:2">
      <c r="A17" s="14" t="s">
        <v>1817</v>
      </c>
      <c r="B17" s="15"/>
    </row>
  </sheetData>
  <mergeCells count="1">
    <mergeCell ref="A1:B1"/>
  </mergeCells>
  <dataValidations count="1">
    <dataValidation type="list" allowBlank="1" sqref="B15">
      <formula1>"Pret,Pret sous conditions,Non pret"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showGridLines="0" workbookViewId="0">
      <pane ySplit="2" topLeftCell="A3" activePane="bottomLeft" state="frozen"/>
      <selection/>
      <selection pane="bottomLeft" activeCell="A1" sqref="A1:B1"/>
    </sheetView>
  </sheetViews>
  <sheetFormatPr defaultColWidth="8.67619047619048" defaultRowHeight="15" outlineLevelCol="1"/>
  <cols>
    <col min="1" max="1" width="30" customWidth="1"/>
    <col min="2" max="2" width="55" customWidth="1"/>
  </cols>
  <sheetData>
    <row r="1" ht="30" customHeight="1" spans="1:2">
      <c r="A1" s="4" t="s">
        <v>1818</v>
      </c>
      <c r="B1" s="4"/>
    </row>
    <row r="3" spans="1:2">
      <c r="A3" s="5" t="s">
        <v>1819</v>
      </c>
      <c r="B3" s="5"/>
    </row>
    <row r="4" spans="1:2">
      <c r="A4" s="6" t="s">
        <v>119</v>
      </c>
      <c r="B4" s="7" t="s">
        <v>1820</v>
      </c>
    </row>
    <row r="5" spans="1:2">
      <c r="A5" s="6" t="s">
        <v>1821</v>
      </c>
      <c r="B5" s="7" t="s">
        <v>1822</v>
      </c>
    </row>
    <row r="6" spans="1:2">
      <c r="A6" s="6" t="s">
        <v>1823</v>
      </c>
      <c r="B6" s="7" t="s">
        <v>1824</v>
      </c>
    </row>
    <row r="7" spans="1:2">
      <c r="A7" s="6" t="s">
        <v>1825</v>
      </c>
      <c r="B7" s="7" t="s">
        <v>1826</v>
      </c>
    </row>
    <row r="8" spans="1:2">
      <c r="A8" s="6" t="s">
        <v>1827</v>
      </c>
      <c r="B8" s="7" t="s">
        <v>1828</v>
      </c>
    </row>
    <row r="9" spans="1:2">
      <c r="A9" s="6" t="s">
        <v>1829</v>
      </c>
      <c r="B9" s="7" t="s">
        <v>1830</v>
      </c>
    </row>
    <row r="10" spans="1:2">
      <c r="A10" s="6" t="s">
        <v>1831</v>
      </c>
      <c r="B10" s="7" t="s">
        <v>1832</v>
      </c>
    </row>
    <row r="11" spans="1:2">
      <c r="A11" s="6" t="s">
        <v>1833</v>
      </c>
      <c r="B11" s="7" t="s">
        <v>1834</v>
      </c>
    </row>
    <row r="12" spans="1:2">
      <c r="A12" s="6" t="s">
        <v>1835</v>
      </c>
      <c r="B12" s="7" t="s">
        <v>1836</v>
      </c>
    </row>
    <row r="13" spans="1:2">
      <c r="A13" s="6" t="s">
        <v>1837</v>
      </c>
      <c r="B13" s="7" t="s">
        <v>1838</v>
      </c>
    </row>
    <row r="14" spans="1:2">
      <c r="A14" s="6" t="s">
        <v>1839</v>
      </c>
      <c r="B14" s="7" t="s">
        <v>1840</v>
      </c>
    </row>
    <row r="15" spans="1:2">
      <c r="A15" s="6" t="s">
        <v>1841</v>
      </c>
      <c r="B15" s="7" t="s">
        <v>1842</v>
      </c>
    </row>
    <row r="16" spans="1:2">
      <c r="A16" s="6" t="s">
        <v>1843</v>
      </c>
      <c r="B16" s="7" t="s">
        <v>1844</v>
      </c>
    </row>
    <row r="18" spans="1:2">
      <c r="A18" s="5" t="s">
        <v>1845</v>
      </c>
      <c r="B18" s="5"/>
    </row>
    <row r="19" spans="1:2">
      <c r="A19" s="6" t="s">
        <v>207</v>
      </c>
      <c r="B19" s="7" t="s">
        <v>1846</v>
      </c>
    </row>
    <row r="20" spans="1:2">
      <c r="A20" s="6" t="s">
        <v>118</v>
      </c>
      <c r="B20" s="7" t="s">
        <v>1798</v>
      </c>
    </row>
    <row r="21" spans="1:2">
      <c r="A21" s="6" t="s">
        <v>138</v>
      </c>
      <c r="B21" s="7" t="s">
        <v>1847</v>
      </c>
    </row>
    <row r="22" spans="1:2">
      <c r="A22" s="6" t="s">
        <v>310</v>
      </c>
      <c r="B22" s="7" t="s">
        <v>1848</v>
      </c>
    </row>
    <row r="23" spans="1:2">
      <c r="A23" s="6" t="s">
        <v>349</v>
      </c>
      <c r="B23" s="7" t="s">
        <v>1849</v>
      </c>
    </row>
    <row r="24" spans="1:2">
      <c r="A24" s="6" t="s">
        <v>741</v>
      </c>
      <c r="B24" s="7" t="s">
        <v>1850</v>
      </c>
    </row>
    <row r="25" spans="1:2">
      <c r="A25" s="6" t="s">
        <v>1148</v>
      </c>
      <c r="B25" s="7" t="s">
        <v>1851</v>
      </c>
    </row>
    <row r="26" spans="1:2">
      <c r="A26" s="6" t="s">
        <v>1377</v>
      </c>
      <c r="B26" s="7" t="s">
        <v>1852</v>
      </c>
    </row>
    <row r="27" spans="1:2">
      <c r="A27" s="6" t="s">
        <v>1446</v>
      </c>
      <c r="B27" s="7" t="s">
        <v>1853</v>
      </c>
    </row>
    <row r="29" spans="1:2">
      <c r="A29" s="5" t="s">
        <v>1854</v>
      </c>
      <c r="B29" s="5"/>
    </row>
    <row r="30" spans="1:2">
      <c r="A30" s="8" t="s">
        <v>1855</v>
      </c>
      <c r="B30" s="7" t="s">
        <v>1856</v>
      </c>
    </row>
    <row r="31" ht="30" spans="1:2">
      <c r="A31" s="9" t="s">
        <v>1857</v>
      </c>
      <c r="B31" s="7" t="s">
        <v>1858</v>
      </c>
    </row>
    <row r="32" spans="1:2">
      <c r="A32" s="10" t="s">
        <v>1859</v>
      </c>
      <c r="B32" s="7" t="s">
        <v>1860</v>
      </c>
    </row>
    <row r="33" spans="1:2">
      <c r="A33" s="11" t="s">
        <v>1861</v>
      </c>
      <c r="B33" s="7" t="s">
        <v>1862</v>
      </c>
    </row>
    <row r="34" spans="1:2">
      <c r="A34" s="12" t="s">
        <v>1863</v>
      </c>
      <c r="B34" s="7" t="s">
        <v>1864</v>
      </c>
    </row>
  </sheetData>
  <mergeCells count="4">
    <mergeCell ref="A1:B1"/>
    <mergeCell ref="A3:B3"/>
    <mergeCell ref="A18:B18"/>
    <mergeCell ref="A29:B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8.67619047619048" defaultRowHeight="15"/>
  <cols>
    <col min="1" max="1" width="110" customWidth="1"/>
  </cols>
  <sheetData>
    <row r="1" ht="30" customHeight="1" spans="1:1">
      <c r="A1" s="1" t="s">
        <v>1865</v>
      </c>
    </row>
    <row r="3" spans="1:1">
      <c r="A3" s="2"/>
    </row>
    <row r="4" spans="1:1">
      <c r="A4" s="3" t="s">
        <v>1866</v>
      </c>
    </row>
    <row r="5" spans="1:1">
      <c r="A5" s="2" t="s">
        <v>1867</v>
      </c>
    </row>
    <row r="6" spans="1:1">
      <c r="A6" s="2" t="s">
        <v>1868</v>
      </c>
    </row>
    <row r="7" spans="1:1">
      <c r="A7" s="2" t="s">
        <v>1869</v>
      </c>
    </row>
    <row r="8" spans="1:1">
      <c r="A8" s="2" t="s">
        <v>1870</v>
      </c>
    </row>
    <row r="9" spans="1:1">
      <c r="A9" s="2"/>
    </row>
    <row r="10" spans="1:1">
      <c r="A10" s="3" t="s">
        <v>1871</v>
      </c>
    </row>
    <row r="11" spans="1:1">
      <c r="A11" s="2" t="s">
        <v>1872</v>
      </c>
    </row>
    <row r="12" spans="1:1">
      <c r="A12" s="2" t="s">
        <v>1873</v>
      </c>
    </row>
    <row r="13" spans="1:1">
      <c r="A13" s="2" t="s">
        <v>1874</v>
      </c>
    </row>
    <row r="14" spans="1:1">
      <c r="A14" s="2"/>
    </row>
    <row r="15" spans="1:1">
      <c r="A15" s="3" t="s">
        <v>1875</v>
      </c>
    </row>
    <row r="16" spans="1:1">
      <c r="A16" s="2" t="s">
        <v>1876</v>
      </c>
    </row>
    <row r="17" spans="1:1">
      <c r="A17" s="2" t="s">
        <v>1877</v>
      </c>
    </row>
    <row r="18" spans="1:1">
      <c r="A18" s="2" t="s">
        <v>1878</v>
      </c>
    </row>
    <row r="19" spans="1:1">
      <c r="A19" s="2" t="s">
        <v>1879</v>
      </c>
    </row>
    <row r="20" spans="1:1">
      <c r="A20" s="2"/>
    </row>
    <row r="21" spans="1:1">
      <c r="A21" s="3" t="s">
        <v>1880</v>
      </c>
    </row>
    <row r="22" spans="1:1">
      <c r="A22" s="2" t="s">
        <v>1881</v>
      </c>
    </row>
    <row r="23" spans="1:1">
      <c r="A23" s="2" t="s">
        <v>1882</v>
      </c>
    </row>
    <row r="24" spans="1:1">
      <c r="A24" s="2" t="s">
        <v>1883</v>
      </c>
    </row>
    <row r="25" spans="1:1">
      <c r="A25" s="2"/>
    </row>
    <row r="26" spans="1:1">
      <c r="A26" s="3" t="s">
        <v>1884</v>
      </c>
    </row>
    <row r="27" spans="1:1">
      <c r="A27" s="2" t="s">
        <v>1885</v>
      </c>
    </row>
    <row r="28" spans="1:1">
      <c r="A28" s="2" t="s">
        <v>1886</v>
      </c>
    </row>
    <row r="29" spans="1:1">
      <c r="A29" s="2" t="s">
        <v>1887</v>
      </c>
    </row>
    <row r="30" spans="1:1">
      <c r="A30" s="2"/>
    </row>
    <row r="31" spans="1:1">
      <c r="A31" s="3" t="s">
        <v>1888</v>
      </c>
    </row>
    <row r="32" spans="1:1">
      <c r="A32" s="2" t="s">
        <v>1889</v>
      </c>
    </row>
    <row r="33" spans="1:1">
      <c r="A33" s="2" t="s">
        <v>1890</v>
      </c>
    </row>
    <row r="34" spans="1:1">
      <c r="A34" s="2" t="s">
        <v>1891</v>
      </c>
    </row>
    <row r="35" spans="1:1">
      <c r="A35" s="2"/>
    </row>
    <row r="36" spans="1:1">
      <c r="A36" s="3" t="s">
        <v>1892</v>
      </c>
    </row>
    <row r="37" spans="1:1">
      <c r="A37" s="2" t="s">
        <v>1893</v>
      </c>
    </row>
    <row r="38" spans="1:1">
      <c r="A38" s="2" t="s">
        <v>1894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LibreOffice/26.2.4.2$Linux_X86_64 LibreOffice_project/620$Build-2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0_Instructions</vt:lpstr>
      <vt:lpstr>1_Identification_Dossier</vt:lpstr>
      <vt:lpstr>2_Diagnostic_Oumaima</vt:lpstr>
      <vt:lpstr>3_Checklist_Maitre</vt:lpstr>
      <vt:lpstr>4_Portes_de_Validation</vt:lpstr>
      <vt:lpstr>5_Tableau_de_Bord</vt:lpstr>
      <vt:lpstr>6_Retour_Imane_Oumaima</vt:lpstr>
      <vt:lpstr>7_Legende</vt:lpstr>
      <vt:lpstr>8_Integration_UBOS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ULTEX COMPANY</cp:lastModifiedBy>
  <cp:revision>0</cp:revision>
  <dcterms:created xsi:type="dcterms:W3CDTF">2026-08-01T13:03:00Z</dcterms:created>
  <dcterms:modified xsi:type="dcterms:W3CDTF">2026-08-04T18:10:46Z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D9CBCB8A22DE47A1B6544F704B0935CA_12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